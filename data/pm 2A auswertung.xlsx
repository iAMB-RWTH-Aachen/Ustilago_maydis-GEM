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2"/>
  </bookViews>
  <sheets>
    <sheet name="Rohdaten" sheetId="1" r:id="rId1"/>
    <sheet name="Steigung" sheetId="2" r:id="rId2"/>
    <sheet name="Modell" sheetId="3" r:id="rId3"/>
  </sheets>
  <calcPr calcId="152511"/>
</workbook>
</file>

<file path=xl/calcChain.xml><?xml version="1.0" encoding="utf-8"?>
<calcChain xmlns="http://schemas.openxmlformats.org/spreadsheetml/2006/main">
  <c r="AO41" i="3" l="1"/>
  <c r="AM41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E41" i="3"/>
  <c r="AF41" i="3"/>
  <c r="AG41" i="3"/>
  <c r="AH41" i="3"/>
  <c r="AI41" i="3"/>
  <c r="AJ41" i="3"/>
  <c r="AK41" i="3"/>
  <c r="AL41" i="3"/>
  <c r="AN41" i="3"/>
  <c r="AD41" i="3"/>
  <c r="P42" i="3"/>
  <c r="Q42" i="3"/>
  <c r="R42" i="3"/>
  <c r="S42" i="3"/>
  <c r="T42" i="3"/>
  <c r="U42" i="3"/>
  <c r="V42" i="3"/>
  <c r="W42" i="3"/>
  <c r="X42" i="3"/>
  <c r="Y42" i="3"/>
  <c r="Z42" i="3"/>
  <c r="AA42" i="3"/>
  <c r="P43" i="3"/>
  <c r="Q43" i="3"/>
  <c r="R43" i="3"/>
  <c r="S43" i="3"/>
  <c r="T43" i="3"/>
  <c r="U43" i="3"/>
  <c r="V43" i="3"/>
  <c r="W43" i="3"/>
  <c r="X43" i="3"/>
  <c r="Y43" i="3"/>
  <c r="Z43" i="3"/>
  <c r="AA43" i="3"/>
  <c r="P44" i="3"/>
  <c r="Q44" i="3"/>
  <c r="R44" i="3"/>
  <c r="S44" i="3"/>
  <c r="T44" i="3"/>
  <c r="U44" i="3"/>
  <c r="V44" i="3"/>
  <c r="W44" i="3"/>
  <c r="X44" i="3"/>
  <c r="Y44" i="3"/>
  <c r="Z44" i="3"/>
  <c r="AA44" i="3"/>
  <c r="P45" i="3"/>
  <c r="Q45" i="3"/>
  <c r="R45" i="3"/>
  <c r="S45" i="3"/>
  <c r="T45" i="3"/>
  <c r="U45" i="3"/>
  <c r="V45" i="3"/>
  <c r="W45" i="3"/>
  <c r="X45" i="3"/>
  <c r="Y45" i="3"/>
  <c r="Z45" i="3"/>
  <c r="AA45" i="3"/>
  <c r="P46" i="3"/>
  <c r="Q46" i="3"/>
  <c r="R46" i="3"/>
  <c r="S46" i="3"/>
  <c r="T46" i="3"/>
  <c r="U46" i="3"/>
  <c r="V46" i="3"/>
  <c r="W46" i="3"/>
  <c r="X46" i="3"/>
  <c r="Y46" i="3"/>
  <c r="Z46" i="3"/>
  <c r="AA46" i="3"/>
  <c r="P47" i="3"/>
  <c r="Q47" i="3"/>
  <c r="R47" i="3"/>
  <c r="S47" i="3"/>
  <c r="T47" i="3"/>
  <c r="U47" i="3"/>
  <c r="V47" i="3"/>
  <c r="W47" i="3"/>
  <c r="X47" i="3"/>
  <c r="Y47" i="3"/>
  <c r="Z47" i="3"/>
  <c r="AA47" i="3"/>
  <c r="P48" i="3"/>
  <c r="Q48" i="3"/>
  <c r="R48" i="3"/>
  <c r="S48" i="3"/>
  <c r="T48" i="3"/>
  <c r="U48" i="3"/>
  <c r="V48" i="3"/>
  <c r="W48" i="3"/>
  <c r="X48" i="3"/>
  <c r="Y48" i="3"/>
  <c r="Z48" i="3"/>
  <c r="AA48" i="3"/>
  <c r="P49" i="3"/>
  <c r="Q49" i="3"/>
  <c r="R49" i="3"/>
  <c r="S49" i="3"/>
  <c r="T49" i="3"/>
  <c r="U49" i="3"/>
  <c r="V49" i="3"/>
  <c r="W49" i="3"/>
  <c r="X49" i="3"/>
  <c r="Y49" i="3"/>
  <c r="Z49" i="3"/>
  <c r="AA49" i="3"/>
  <c r="P50" i="3"/>
  <c r="Q50" i="3"/>
  <c r="R50" i="3"/>
  <c r="S50" i="3"/>
  <c r="T50" i="3"/>
  <c r="U50" i="3"/>
  <c r="V50" i="3"/>
  <c r="W50" i="3"/>
  <c r="X50" i="3"/>
  <c r="Y50" i="3"/>
  <c r="Z50" i="3"/>
  <c r="AA50" i="3"/>
  <c r="P51" i="3"/>
  <c r="Q51" i="3"/>
  <c r="R51" i="3"/>
  <c r="S51" i="3"/>
  <c r="T51" i="3"/>
  <c r="U51" i="3"/>
  <c r="V51" i="3"/>
  <c r="W51" i="3"/>
  <c r="X51" i="3"/>
  <c r="Y51" i="3"/>
  <c r="Z51" i="3"/>
  <c r="AA51" i="3"/>
  <c r="P52" i="3"/>
  <c r="Q52" i="3"/>
  <c r="R52" i="3"/>
  <c r="S52" i="3"/>
  <c r="T52" i="3"/>
  <c r="U52" i="3"/>
  <c r="V52" i="3"/>
  <c r="W52" i="3"/>
  <c r="X52" i="3"/>
  <c r="Y52" i="3"/>
  <c r="Z52" i="3"/>
  <c r="AA52" i="3"/>
  <c r="P53" i="3"/>
  <c r="Q53" i="3"/>
  <c r="R53" i="3"/>
  <c r="S53" i="3"/>
  <c r="T53" i="3"/>
  <c r="U53" i="3"/>
  <c r="V53" i="3"/>
  <c r="W53" i="3"/>
  <c r="X53" i="3"/>
  <c r="Y53" i="3"/>
  <c r="Z53" i="3"/>
  <c r="AA53" i="3"/>
  <c r="P54" i="3"/>
  <c r="Q54" i="3"/>
  <c r="R54" i="3"/>
  <c r="S54" i="3"/>
  <c r="T54" i="3"/>
  <c r="U54" i="3"/>
  <c r="V54" i="3"/>
  <c r="W54" i="3"/>
  <c r="X54" i="3"/>
  <c r="Y54" i="3"/>
  <c r="Z54" i="3"/>
  <c r="AA54" i="3"/>
  <c r="P55" i="3"/>
  <c r="Q55" i="3"/>
  <c r="R55" i="3"/>
  <c r="S55" i="3"/>
  <c r="T55" i="3"/>
  <c r="U55" i="3"/>
  <c r="V55" i="3"/>
  <c r="W55" i="3"/>
  <c r="X55" i="3"/>
  <c r="Y55" i="3"/>
  <c r="Z55" i="3"/>
  <c r="AA55" i="3"/>
  <c r="P56" i="3"/>
  <c r="Q56" i="3"/>
  <c r="R56" i="3"/>
  <c r="S56" i="3"/>
  <c r="T56" i="3"/>
  <c r="U56" i="3"/>
  <c r="V56" i="3"/>
  <c r="W56" i="3"/>
  <c r="X56" i="3"/>
  <c r="Y56" i="3"/>
  <c r="Z56" i="3"/>
  <c r="AA56" i="3"/>
  <c r="Q41" i="3"/>
  <c r="R41" i="3"/>
  <c r="S41" i="3"/>
  <c r="T41" i="3"/>
  <c r="U41" i="3"/>
  <c r="V41" i="3"/>
  <c r="W41" i="3"/>
  <c r="X41" i="3"/>
  <c r="Y41" i="3"/>
  <c r="Z41" i="3"/>
  <c r="AA41" i="3"/>
  <c r="P41" i="3"/>
  <c r="B41" i="3" l="1"/>
  <c r="C41" i="3" l="1"/>
  <c r="D41" i="3"/>
  <c r="E41" i="3"/>
  <c r="F41" i="3"/>
  <c r="G41" i="3"/>
  <c r="H41" i="3"/>
  <c r="I41" i="3"/>
  <c r="J41" i="3"/>
  <c r="K41" i="3"/>
  <c r="L41" i="3"/>
  <c r="M41" i="3"/>
  <c r="C42" i="3"/>
  <c r="D42" i="3"/>
  <c r="E42" i="3"/>
  <c r="F42" i="3"/>
  <c r="G42" i="3"/>
  <c r="H42" i="3"/>
  <c r="I42" i="3"/>
  <c r="J42" i="3"/>
  <c r="K42" i="3"/>
  <c r="L42" i="3"/>
  <c r="M42" i="3"/>
  <c r="C43" i="3"/>
  <c r="D43" i="3"/>
  <c r="E43" i="3"/>
  <c r="F43" i="3"/>
  <c r="G43" i="3"/>
  <c r="H43" i="3"/>
  <c r="I43" i="3"/>
  <c r="J43" i="3"/>
  <c r="K43" i="3"/>
  <c r="L43" i="3"/>
  <c r="M43" i="3"/>
  <c r="C44" i="3"/>
  <c r="D44" i="3"/>
  <c r="E44" i="3"/>
  <c r="F44" i="3"/>
  <c r="G44" i="3"/>
  <c r="H44" i="3"/>
  <c r="I44" i="3"/>
  <c r="J44" i="3"/>
  <c r="K44" i="3"/>
  <c r="L44" i="3"/>
  <c r="M44" i="3"/>
  <c r="C45" i="3"/>
  <c r="D45" i="3"/>
  <c r="E45" i="3"/>
  <c r="F45" i="3"/>
  <c r="G45" i="3"/>
  <c r="H45" i="3"/>
  <c r="I45" i="3"/>
  <c r="J45" i="3"/>
  <c r="K45" i="3"/>
  <c r="L45" i="3"/>
  <c r="M45" i="3"/>
  <c r="C46" i="3"/>
  <c r="D46" i="3"/>
  <c r="E46" i="3"/>
  <c r="F46" i="3"/>
  <c r="G46" i="3"/>
  <c r="H46" i="3"/>
  <c r="I46" i="3"/>
  <c r="J46" i="3"/>
  <c r="K46" i="3"/>
  <c r="L46" i="3"/>
  <c r="M46" i="3"/>
  <c r="C47" i="3"/>
  <c r="D47" i="3"/>
  <c r="E47" i="3"/>
  <c r="F47" i="3"/>
  <c r="G47" i="3"/>
  <c r="H47" i="3"/>
  <c r="I47" i="3"/>
  <c r="J47" i="3"/>
  <c r="K47" i="3"/>
  <c r="L47" i="3"/>
  <c r="M47" i="3"/>
  <c r="C48" i="3"/>
  <c r="D48" i="3"/>
  <c r="E48" i="3"/>
  <c r="F48" i="3"/>
  <c r="G48" i="3"/>
  <c r="H48" i="3"/>
  <c r="I48" i="3"/>
  <c r="J48" i="3"/>
  <c r="K48" i="3"/>
  <c r="L48" i="3"/>
  <c r="M48" i="3"/>
  <c r="C49" i="3"/>
  <c r="D49" i="3"/>
  <c r="E49" i="3"/>
  <c r="F49" i="3"/>
  <c r="G49" i="3"/>
  <c r="H49" i="3"/>
  <c r="I49" i="3"/>
  <c r="J49" i="3"/>
  <c r="K49" i="3"/>
  <c r="L49" i="3"/>
  <c r="M49" i="3"/>
  <c r="C50" i="3"/>
  <c r="D50" i="3"/>
  <c r="E50" i="3"/>
  <c r="F50" i="3"/>
  <c r="G50" i="3"/>
  <c r="H50" i="3"/>
  <c r="I50" i="3"/>
  <c r="J50" i="3"/>
  <c r="K50" i="3"/>
  <c r="L50" i="3"/>
  <c r="M50" i="3"/>
  <c r="C51" i="3"/>
  <c r="D51" i="3"/>
  <c r="E51" i="3"/>
  <c r="F51" i="3"/>
  <c r="G51" i="3"/>
  <c r="H51" i="3"/>
  <c r="I51" i="3"/>
  <c r="J51" i="3"/>
  <c r="K51" i="3"/>
  <c r="L51" i="3"/>
  <c r="M51" i="3"/>
  <c r="C52" i="3"/>
  <c r="D52" i="3"/>
  <c r="E52" i="3"/>
  <c r="F52" i="3"/>
  <c r="G52" i="3"/>
  <c r="H52" i="3"/>
  <c r="I52" i="3"/>
  <c r="J52" i="3"/>
  <c r="K52" i="3"/>
  <c r="L52" i="3"/>
  <c r="M52" i="3"/>
  <c r="C53" i="3"/>
  <c r="D53" i="3"/>
  <c r="E53" i="3"/>
  <c r="F53" i="3"/>
  <c r="G53" i="3"/>
  <c r="H53" i="3"/>
  <c r="I53" i="3"/>
  <c r="J53" i="3"/>
  <c r="K53" i="3"/>
  <c r="L53" i="3"/>
  <c r="M53" i="3"/>
  <c r="C54" i="3"/>
  <c r="D54" i="3"/>
  <c r="E54" i="3"/>
  <c r="F54" i="3"/>
  <c r="G54" i="3"/>
  <c r="H54" i="3"/>
  <c r="I54" i="3"/>
  <c r="J54" i="3"/>
  <c r="K54" i="3"/>
  <c r="L54" i="3"/>
  <c r="M54" i="3"/>
  <c r="C55" i="3"/>
  <c r="D55" i="3"/>
  <c r="E55" i="3"/>
  <c r="F55" i="3"/>
  <c r="G55" i="3"/>
  <c r="H55" i="3"/>
  <c r="I55" i="3"/>
  <c r="J55" i="3"/>
  <c r="K55" i="3"/>
  <c r="L55" i="3"/>
  <c r="M55" i="3"/>
  <c r="C56" i="3"/>
  <c r="D56" i="3"/>
  <c r="E56" i="3"/>
  <c r="F56" i="3"/>
  <c r="G56" i="3"/>
  <c r="H56" i="3"/>
  <c r="I56" i="3"/>
  <c r="J56" i="3"/>
  <c r="K56" i="3"/>
  <c r="L56" i="3"/>
  <c r="M56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AO3" i="2" l="1"/>
  <c r="AC57" i="2"/>
  <c r="AD57" i="2"/>
  <c r="AE57" i="2"/>
  <c r="AF57" i="2"/>
  <c r="AG57" i="2"/>
  <c r="AH57" i="2"/>
  <c r="AI57" i="2"/>
  <c r="AJ57" i="2"/>
  <c r="AK57" i="2"/>
  <c r="AL57" i="2"/>
  <c r="AM57" i="2"/>
  <c r="AC58" i="2"/>
  <c r="AD58" i="2"/>
  <c r="AE58" i="2"/>
  <c r="AF58" i="2"/>
  <c r="AG58" i="2"/>
  <c r="AH58" i="2"/>
  <c r="AI58" i="2"/>
  <c r="AJ58" i="2"/>
  <c r="AK58" i="2"/>
  <c r="AL58" i="2"/>
  <c r="AM58" i="2"/>
  <c r="AC59" i="2"/>
  <c r="AD59" i="2"/>
  <c r="AE59" i="2"/>
  <c r="AF59" i="2"/>
  <c r="AG59" i="2"/>
  <c r="AH59" i="2"/>
  <c r="AI59" i="2"/>
  <c r="AJ59" i="2"/>
  <c r="AK59" i="2"/>
  <c r="AL59" i="2"/>
  <c r="AM59" i="2"/>
  <c r="AC60" i="2"/>
  <c r="AD60" i="2"/>
  <c r="AE60" i="2"/>
  <c r="AF60" i="2"/>
  <c r="AG60" i="2"/>
  <c r="AH60" i="2"/>
  <c r="AI60" i="2"/>
  <c r="AJ60" i="2"/>
  <c r="AK60" i="2"/>
  <c r="AL60" i="2"/>
  <c r="AM60" i="2"/>
  <c r="AC61" i="2"/>
  <c r="AD61" i="2"/>
  <c r="AE61" i="2"/>
  <c r="AF61" i="2"/>
  <c r="AG61" i="2"/>
  <c r="AH61" i="2"/>
  <c r="AI61" i="2"/>
  <c r="AJ61" i="2"/>
  <c r="AK61" i="2"/>
  <c r="AL61" i="2"/>
  <c r="AM61" i="2"/>
  <c r="AC62" i="2"/>
  <c r="AD62" i="2"/>
  <c r="AE62" i="2"/>
  <c r="AF62" i="2"/>
  <c r="AG62" i="2"/>
  <c r="AH62" i="2"/>
  <c r="AI62" i="2"/>
  <c r="AJ62" i="2"/>
  <c r="AK62" i="2"/>
  <c r="AL62" i="2"/>
  <c r="AM62" i="2"/>
  <c r="AC63" i="2"/>
  <c r="AD63" i="2"/>
  <c r="AE63" i="2"/>
  <c r="AF63" i="2"/>
  <c r="AG63" i="2"/>
  <c r="AH63" i="2"/>
  <c r="AI63" i="2"/>
  <c r="AJ63" i="2"/>
  <c r="AK63" i="2"/>
  <c r="AL63" i="2"/>
  <c r="AM63" i="2"/>
  <c r="AC64" i="2"/>
  <c r="AD64" i="2"/>
  <c r="AE64" i="2"/>
  <c r="AF64" i="2"/>
  <c r="AG64" i="2"/>
  <c r="AH64" i="2"/>
  <c r="AI64" i="2"/>
  <c r="AJ64" i="2"/>
  <c r="AK64" i="2"/>
  <c r="AL64" i="2"/>
  <c r="AM64" i="2"/>
  <c r="AC65" i="2"/>
  <c r="AD65" i="2"/>
  <c r="AE65" i="2"/>
  <c r="AF65" i="2"/>
  <c r="AG65" i="2"/>
  <c r="AH65" i="2"/>
  <c r="AI65" i="2"/>
  <c r="AJ65" i="2"/>
  <c r="AK65" i="2"/>
  <c r="AL65" i="2"/>
  <c r="AM65" i="2"/>
  <c r="AC66" i="2"/>
  <c r="AD66" i="2"/>
  <c r="AE66" i="2"/>
  <c r="AF66" i="2"/>
  <c r="AG66" i="2"/>
  <c r="AH66" i="2"/>
  <c r="AI66" i="2"/>
  <c r="AJ66" i="2"/>
  <c r="AK66" i="2"/>
  <c r="AL66" i="2"/>
  <c r="AM66" i="2"/>
  <c r="AC67" i="2"/>
  <c r="AD67" i="2"/>
  <c r="AE67" i="2"/>
  <c r="AF67" i="2"/>
  <c r="AG67" i="2"/>
  <c r="AH67" i="2"/>
  <c r="AI67" i="2"/>
  <c r="AJ67" i="2"/>
  <c r="AK67" i="2"/>
  <c r="AL67" i="2"/>
  <c r="AM67" i="2"/>
  <c r="AC68" i="2"/>
  <c r="AD68" i="2"/>
  <c r="AE68" i="2"/>
  <c r="AF68" i="2"/>
  <c r="AG68" i="2"/>
  <c r="AH68" i="2"/>
  <c r="AI68" i="2"/>
  <c r="AJ68" i="2"/>
  <c r="AK68" i="2"/>
  <c r="AL68" i="2"/>
  <c r="AM68" i="2"/>
  <c r="AC69" i="2"/>
  <c r="AD69" i="2"/>
  <c r="AE69" i="2"/>
  <c r="AF69" i="2"/>
  <c r="AG69" i="2"/>
  <c r="AH69" i="2"/>
  <c r="AI69" i="2"/>
  <c r="AJ69" i="2"/>
  <c r="AK69" i="2"/>
  <c r="AL69" i="2"/>
  <c r="AM69" i="2"/>
  <c r="AC70" i="2"/>
  <c r="AD70" i="2"/>
  <c r="AE70" i="2"/>
  <c r="AF70" i="2"/>
  <c r="AG70" i="2"/>
  <c r="AH70" i="2"/>
  <c r="AI70" i="2"/>
  <c r="AJ70" i="2"/>
  <c r="AK70" i="2"/>
  <c r="AL70" i="2"/>
  <c r="AM70" i="2"/>
  <c r="AC71" i="2"/>
  <c r="AD71" i="2"/>
  <c r="AE71" i="2"/>
  <c r="AF71" i="2"/>
  <c r="AG71" i="2"/>
  <c r="AH71" i="2"/>
  <c r="AI71" i="2"/>
  <c r="AJ71" i="2"/>
  <c r="AK71" i="2"/>
  <c r="AL71" i="2"/>
  <c r="AM71" i="2"/>
  <c r="AC72" i="2"/>
  <c r="AD72" i="2"/>
  <c r="AE72" i="2"/>
  <c r="AF72" i="2"/>
  <c r="AG72" i="2"/>
  <c r="AH72" i="2"/>
  <c r="AI72" i="2"/>
  <c r="AJ72" i="2"/>
  <c r="AK72" i="2"/>
  <c r="AL72" i="2"/>
  <c r="AM72" i="2"/>
  <c r="P57" i="2"/>
  <c r="Q57" i="2"/>
  <c r="R57" i="2"/>
  <c r="S57" i="2"/>
  <c r="T57" i="2"/>
  <c r="U57" i="2"/>
  <c r="V57" i="2"/>
  <c r="W57" i="2"/>
  <c r="X57" i="2"/>
  <c r="Y57" i="2"/>
  <c r="Z57" i="2"/>
  <c r="AB57" i="2"/>
  <c r="P58" i="2"/>
  <c r="Q58" i="2"/>
  <c r="R58" i="2"/>
  <c r="S58" i="2"/>
  <c r="T58" i="2"/>
  <c r="U58" i="2"/>
  <c r="V58" i="2"/>
  <c r="W58" i="2"/>
  <c r="X58" i="2"/>
  <c r="Y58" i="2"/>
  <c r="Z58" i="2"/>
  <c r="AB58" i="2"/>
  <c r="P59" i="2"/>
  <c r="Q59" i="2"/>
  <c r="R59" i="2"/>
  <c r="S59" i="2"/>
  <c r="T59" i="2"/>
  <c r="U59" i="2"/>
  <c r="V59" i="2"/>
  <c r="W59" i="2"/>
  <c r="X59" i="2"/>
  <c r="Y59" i="2"/>
  <c r="Z59" i="2"/>
  <c r="AB59" i="2"/>
  <c r="P60" i="2"/>
  <c r="Q60" i="2"/>
  <c r="R60" i="2"/>
  <c r="S60" i="2"/>
  <c r="T60" i="2"/>
  <c r="U60" i="2"/>
  <c r="V60" i="2"/>
  <c r="W60" i="2"/>
  <c r="X60" i="2"/>
  <c r="Y60" i="2"/>
  <c r="Z60" i="2"/>
  <c r="AB60" i="2"/>
  <c r="P61" i="2"/>
  <c r="Q61" i="2"/>
  <c r="R61" i="2"/>
  <c r="S61" i="2"/>
  <c r="T61" i="2"/>
  <c r="U61" i="2"/>
  <c r="V61" i="2"/>
  <c r="W61" i="2"/>
  <c r="X61" i="2"/>
  <c r="Y61" i="2"/>
  <c r="Z61" i="2"/>
  <c r="AB61" i="2"/>
  <c r="P62" i="2"/>
  <c r="Q62" i="2"/>
  <c r="R62" i="2"/>
  <c r="S62" i="2"/>
  <c r="T62" i="2"/>
  <c r="U62" i="2"/>
  <c r="V62" i="2"/>
  <c r="W62" i="2"/>
  <c r="X62" i="2"/>
  <c r="Y62" i="2"/>
  <c r="Z62" i="2"/>
  <c r="AB62" i="2"/>
  <c r="P63" i="2"/>
  <c r="Q63" i="2"/>
  <c r="R63" i="2"/>
  <c r="S63" i="2"/>
  <c r="T63" i="2"/>
  <c r="U63" i="2"/>
  <c r="V63" i="2"/>
  <c r="W63" i="2"/>
  <c r="X63" i="2"/>
  <c r="Y63" i="2"/>
  <c r="Z63" i="2"/>
  <c r="AB63" i="2"/>
  <c r="P64" i="2"/>
  <c r="Q64" i="2"/>
  <c r="R64" i="2"/>
  <c r="S64" i="2"/>
  <c r="T64" i="2"/>
  <c r="U64" i="2"/>
  <c r="V64" i="2"/>
  <c r="W64" i="2"/>
  <c r="X64" i="2"/>
  <c r="Y64" i="2"/>
  <c r="Z64" i="2"/>
  <c r="AB64" i="2"/>
  <c r="P65" i="2"/>
  <c r="Q65" i="2"/>
  <c r="R65" i="2"/>
  <c r="S65" i="2"/>
  <c r="T65" i="2"/>
  <c r="U65" i="2"/>
  <c r="V65" i="2"/>
  <c r="W65" i="2"/>
  <c r="X65" i="2"/>
  <c r="Y65" i="2"/>
  <c r="Z65" i="2"/>
  <c r="AB65" i="2"/>
  <c r="P66" i="2"/>
  <c r="Q66" i="2"/>
  <c r="R66" i="2"/>
  <c r="S66" i="2"/>
  <c r="T66" i="2"/>
  <c r="U66" i="2"/>
  <c r="V66" i="2"/>
  <c r="W66" i="2"/>
  <c r="X66" i="2"/>
  <c r="Y66" i="2"/>
  <c r="Z66" i="2"/>
  <c r="AB66" i="2"/>
  <c r="P67" i="2"/>
  <c r="Q67" i="2"/>
  <c r="R67" i="2"/>
  <c r="S67" i="2"/>
  <c r="T67" i="2"/>
  <c r="U67" i="2"/>
  <c r="V67" i="2"/>
  <c r="W67" i="2"/>
  <c r="X67" i="2"/>
  <c r="Y67" i="2"/>
  <c r="Z67" i="2"/>
  <c r="AB67" i="2"/>
  <c r="P68" i="2"/>
  <c r="Q68" i="2"/>
  <c r="R68" i="2"/>
  <c r="S68" i="2"/>
  <c r="T68" i="2"/>
  <c r="U68" i="2"/>
  <c r="V68" i="2"/>
  <c r="W68" i="2"/>
  <c r="X68" i="2"/>
  <c r="Y68" i="2"/>
  <c r="Z68" i="2"/>
  <c r="AB68" i="2"/>
  <c r="P69" i="2"/>
  <c r="Q69" i="2"/>
  <c r="R69" i="2"/>
  <c r="S69" i="2"/>
  <c r="T69" i="2"/>
  <c r="U69" i="2"/>
  <c r="V69" i="2"/>
  <c r="W69" i="2"/>
  <c r="X69" i="2"/>
  <c r="Y69" i="2"/>
  <c r="Z69" i="2"/>
  <c r="AB69" i="2"/>
  <c r="P70" i="2"/>
  <c r="Q70" i="2"/>
  <c r="R70" i="2"/>
  <c r="S70" i="2"/>
  <c r="T70" i="2"/>
  <c r="U70" i="2"/>
  <c r="V70" i="2"/>
  <c r="W70" i="2"/>
  <c r="X70" i="2"/>
  <c r="Y70" i="2"/>
  <c r="Z70" i="2"/>
  <c r="AB70" i="2"/>
  <c r="P71" i="2"/>
  <c r="Q71" i="2"/>
  <c r="R71" i="2"/>
  <c r="S71" i="2"/>
  <c r="T71" i="2"/>
  <c r="U71" i="2"/>
  <c r="V71" i="2"/>
  <c r="W71" i="2"/>
  <c r="X71" i="2"/>
  <c r="Y71" i="2"/>
  <c r="Z71" i="2"/>
  <c r="AB71" i="2"/>
  <c r="P72" i="2"/>
  <c r="Q72" i="2"/>
  <c r="R72" i="2"/>
  <c r="S72" i="2"/>
  <c r="T72" i="2"/>
  <c r="U72" i="2"/>
  <c r="V72" i="2"/>
  <c r="W72" i="2"/>
  <c r="X72" i="2"/>
  <c r="Y72" i="2"/>
  <c r="Z72" i="2"/>
  <c r="AB72" i="2"/>
  <c r="C57" i="2"/>
  <c r="D57" i="2"/>
  <c r="E57" i="2"/>
  <c r="F57" i="2"/>
  <c r="G57" i="2"/>
  <c r="H57" i="2"/>
  <c r="I57" i="2"/>
  <c r="J57" i="2"/>
  <c r="K57" i="2"/>
  <c r="L57" i="2"/>
  <c r="M57" i="2"/>
  <c r="O57" i="2"/>
  <c r="C58" i="2"/>
  <c r="D58" i="2"/>
  <c r="E58" i="2"/>
  <c r="F58" i="2"/>
  <c r="G58" i="2"/>
  <c r="H58" i="2"/>
  <c r="I58" i="2"/>
  <c r="J58" i="2"/>
  <c r="K58" i="2"/>
  <c r="L58" i="2"/>
  <c r="M58" i="2"/>
  <c r="O58" i="2"/>
  <c r="C59" i="2"/>
  <c r="D59" i="2"/>
  <c r="E59" i="2"/>
  <c r="F59" i="2"/>
  <c r="G59" i="2"/>
  <c r="H59" i="2"/>
  <c r="I59" i="2"/>
  <c r="J59" i="2"/>
  <c r="K59" i="2"/>
  <c r="L59" i="2"/>
  <c r="M59" i="2"/>
  <c r="O59" i="2"/>
  <c r="C60" i="2"/>
  <c r="D60" i="2"/>
  <c r="E60" i="2"/>
  <c r="F60" i="2"/>
  <c r="G60" i="2"/>
  <c r="H60" i="2"/>
  <c r="I60" i="2"/>
  <c r="J60" i="2"/>
  <c r="K60" i="2"/>
  <c r="L60" i="2"/>
  <c r="M60" i="2"/>
  <c r="O60" i="2"/>
  <c r="C61" i="2"/>
  <c r="D61" i="2"/>
  <c r="E61" i="2"/>
  <c r="F61" i="2"/>
  <c r="G61" i="2"/>
  <c r="H61" i="2"/>
  <c r="I61" i="2"/>
  <c r="J61" i="2"/>
  <c r="K61" i="2"/>
  <c r="L61" i="2"/>
  <c r="M61" i="2"/>
  <c r="O61" i="2"/>
  <c r="C62" i="2"/>
  <c r="D62" i="2"/>
  <c r="E62" i="2"/>
  <c r="F62" i="2"/>
  <c r="G62" i="2"/>
  <c r="H62" i="2"/>
  <c r="I62" i="2"/>
  <c r="J62" i="2"/>
  <c r="K62" i="2"/>
  <c r="L62" i="2"/>
  <c r="M62" i="2"/>
  <c r="O62" i="2"/>
  <c r="C63" i="2"/>
  <c r="D63" i="2"/>
  <c r="E63" i="2"/>
  <c r="F63" i="2"/>
  <c r="G63" i="2"/>
  <c r="H63" i="2"/>
  <c r="I63" i="2"/>
  <c r="J63" i="2"/>
  <c r="K63" i="2"/>
  <c r="L63" i="2"/>
  <c r="M63" i="2"/>
  <c r="O63" i="2"/>
  <c r="C64" i="2"/>
  <c r="D64" i="2"/>
  <c r="E64" i="2"/>
  <c r="F64" i="2"/>
  <c r="G64" i="2"/>
  <c r="H64" i="2"/>
  <c r="I64" i="2"/>
  <c r="J64" i="2"/>
  <c r="K64" i="2"/>
  <c r="L64" i="2"/>
  <c r="M64" i="2"/>
  <c r="O64" i="2"/>
  <c r="C65" i="2"/>
  <c r="D65" i="2"/>
  <c r="E65" i="2"/>
  <c r="F65" i="2"/>
  <c r="G65" i="2"/>
  <c r="H65" i="2"/>
  <c r="I65" i="2"/>
  <c r="J65" i="2"/>
  <c r="K65" i="2"/>
  <c r="L65" i="2"/>
  <c r="M65" i="2"/>
  <c r="O65" i="2"/>
  <c r="C66" i="2"/>
  <c r="D66" i="2"/>
  <c r="E66" i="2"/>
  <c r="F66" i="2"/>
  <c r="G66" i="2"/>
  <c r="H66" i="2"/>
  <c r="I66" i="2"/>
  <c r="J66" i="2"/>
  <c r="K66" i="2"/>
  <c r="L66" i="2"/>
  <c r="M66" i="2"/>
  <c r="O66" i="2"/>
  <c r="C67" i="2"/>
  <c r="D67" i="2"/>
  <c r="E67" i="2"/>
  <c r="F67" i="2"/>
  <c r="G67" i="2"/>
  <c r="H67" i="2"/>
  <c r="I67" i="2"/>
  <c r="J67" i="2"/>
  <c r="K67" i="2"/>
  <c r="L67" i="2"/>
  <c r="M67" i="2"/>
  <c r="O67" i="2"/>
  <c r="C68" i="2"/>
  <c r="D68" i="2"/>
  <c r="E68" i="2"/>
  <c r="F68" i="2"/>
  <c r="G68" i="2"/>
  <c r="H68" i="2"/>
  <c r="I68" i="2"/>
  <c r="J68" i="2"/>
  <c r="K68" i="2"/>
  <c r="L68" i="2"/>
  <c r="M68" i="2"/>
  <c r="O68" i="2"/>
  <c r="C69" i="2"/>
  <c r="D69" i="2"/>
  <c r="E69" i="2"/>
  <c r="F69" i="2"/>
  <c r="G69" i="2"/>
  <c r="H69" i="2"/>
  <c r="I69" i="2"/>
  <c r="J69" i="2"/>
  <c r="K69" i="2"/>
  <c r="L69" i="2"/>
  <c r="M69" i="2"/>
  <c r="O69" i="2"/>
  <c r="C70" i="2"/>
  <c r="D70" i="2"/>
  <c r="E70" i="2"/>
  <c r="F70" i="2"/>
  <c r="G70" i="2"/>
  <c r="H70" i="2"/>
  <c r="I70" i="2"/>
  <c r="J70" i="2"/>
  <c r="K70" i="2"/>
  <c r="L70" i="2"/>
  <c r="M70" i="2"/>
  <c r="O70" i="2"/>
  <c r="C71" i="2"/>
  <c r="D71" i="2"/>
  <c r="E71" i="2"/>
  <c r="F71" i="2"/>
  <c r="G71" i="2"/>
  <c r="H71" i="2"/>
  <c r="I71" i="2"/>
  <c r="J71" i="2"/>
  <c r="K71" i="2"/>
  <c r="L71" i="2"/>
  <c r="M71" i="2"/>
  <c r="O71" i="2"/>
  <c r="C72" i="2"/>
  <c r="D72" i="2"/>
  <c r="E72" i="2"/>
  <c r="F72" i="2"/>
  <c r="G72" i="2"/>
  <c r="H72" i="2"/>
  <c r="I72" i="2"/>
  <c r="J72" i="2"/>
  <c r="K72" i="2"/>
  <c r="L72" i="2"/>
  <c r="M72" i="2"/>
  <c r="O72" i="2"/>
  <c r="B72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57" i="2"/>
  <c r="AC39" i="2"/>
  <c r="AD39" i="2"/>
  <c r="AE39" i="2"/>
  <c r="AF39" i="2"/>
  <c r="AG39" i="2"/>
  <c r="AH39" i="2"/>
  <c r="AI39" i="2"/>
  <c r="AJ39" i="2"/>
  <c r="AK39" i="2"/>
  <c r="AL39" i="2"/>
  <c r="AM39" i="2"/>
  <c r="AC40" i="2"/>
  <c r="AD40" i="2"/>
  <c r="AE40" i="2"/>
  <c r="AF40" i="2"/>
  <c r="AG40" i="2"/>
  <c r="AH40" i="2"/>
  <c r="AI40" i="2"/>
  <c r="AJ40" i="2"/>
  <c r="AK40" i="2"/>
  <c r="AL40" i="2"/>
  <c r="AM40" i="2"/>
  <c r="AC41" i="2"/>
  <c r="AD41" i="2"/>
  <c r="AE41" i="2"/>
  <c r="AF41" i="2"/>
  <c r="AG41" i="2"/>
  <c r="AH41" i="2"/>
  <c r="AI41" i="2"/>
  <c r="AJ41" i="2"/>
  <c r="AK41" i="2"/>
  <c r="AL41" i="2"/>
  <c r="AM41" i="2"/>
  <c r="AC42" i="2"/>
  <c r="AD42" i="2"/>
  <c r="AE42" i="2"/>
  <c r="AF42" i="2"/>
  <c r="AG42" i="2"/>
  <c r="AH42" i="2"/>
  <c r="AI42" i="2"/>
  <c r="AJ42" i="2"/>
  <c r="AK42" i="2"/>
  <c r="AL42" i="2"/>
  <c r="AM42" i="2"/>
  <c r="AC43" i="2"/>
  <c r="AD43" i="2"/>
  <c r="AE43" i="2"/>
  <c r="AF43" i="2"/>
  <c r="AG43" i="2"/>
  <c r="AH43" i="2"/>
  <c r="AI43" i="2"/>
  <c r="AJ43" i="2"/>
  <c r="AK43" i="2"/>
  <c r="AL43" i="2"/>
  <c r="AM43" i="2"/>
  <c r="AC44" i="2"/>
  <c r="AD44" i="2"/>
  <c r="AE44" i="2"/>
  <c r="AF44" i="2"/>
  <c r="AG44" i="2"/>
  <c r="AH44" i="2"/>
  <c r="AI44" i="2"/>
  <c r="AJ44" i="2"/>
  <c r="AK44" i="2"/>
  <c r="AL44" i="2"/>
  <c r="AM44" i="2"/>
  <c r="AC45" i="2"/>
  <c r="AD45" i="2"/>
  <c r="AE45" i="2"/>
  <c r="AF45" i="2"/>
  <c r="AG45" i="2"/>
  <c r="AH45" i="2"/>
  <c r="AI45" i="2"/>
  <c r="AJ45" i="2"/>
  <c r="AK45" i="2"/>
  <c r="AL45" i="2"/>
  <c r="AM45" i="2"/>
  <c r="AC46" i="2"/>
  <c r="AD46" i="2"/>
  <c r="AE46" i="2"/>
  <c r="AF46" i="2"/>
  <c r="AG46" i="2"/>
  <c r="AH46" i="2"/>
  <c r="AI46" i="2"/>
  <c r="AJ46" i="2"/>
  <c r="AK46" i="2"/>
  <c r="AL46" i="2"/>
  <c r="AM46" i="2"/>
  <c r="AC47" i="2"/>
  <c r="AD47" i="2"/>
  <c r="AE47" i="2"/>
  <c r="AF47" i="2"/>
  <c r="AG47" i="2"/>
  <c r="AH47" i="2"/>
  <c r="AI47" i="2"/>
  <c r="AJ47" i="2"/>
  <c r="AK47" i="2"/>
  <c r="AL47" i="2"/>
  <c r="AM47" i="2"/>
  <c r="AC48" i="2"/>
  <c r="AD48" i="2"/>
  <c r="AE48" i="2"/>
  <c r="AF48" i="2"/>
  <c r="AG48" i="2"/>
  <c r="AH48" i="2"/>
  <c r="AI48" i="2"/>
  <c r="AJ48" i="2"/>
  <c r="AK48" i="2"/>
  <c r="AL48" i="2"/>
  <c r="AM48" i="2"/>
  <c r="AC49" i="2"/>
  <c r="AD49" i="2"/>
  <c r="AE49" i="2"/>
  <c r="AF49" i="2"/>
  <c r="AG49" i="2"/>
  <c r="AH49" i="2"/>
  <c r="AI49" i="2"/>
  <c r="AJ49" i="2"/>
  <c r="AK49" i="2"/>
  <c r="AL49" i="2"/>
  <c r="AM49" i="2"/>
  <c r="AC50" i="2"/>
  <c r="AD50" i="2"/>
  <c r="AE50" i="2"/>
  <c r="AF50" i="2"/>
  <c r="AG50" i="2"/>
  <c r="AH50" i="2"/>
  <c r="AI50" i="2"/>
  <c r="AJ50" i="2"/>
  <c r="AK50" i="2"/>
  <c r="AL50" i="2"/>
  <c r="AM50" i="2"/>
  <c r="AC51" i="2"/>
  <c r="AD51" i="2"/>
  <c r="AE51" i="2"/>
  <c r="AF51" i="2"/>
  <c r="AG51" i="2"/>
  <c r="AH51" i="2"/>
  <c r="AI51" i="2"/>
  <c r="AJ51" i="2"/>
  <c r="AK51" i="2"/>
  <c r="AL51" i="2"/>
  <c r="AM51" i="2"/>
  <c r="AC52" i="2"/>
  <c r="AD52" i="2"/>
  <c r="AE52" i="2"/>
  <c r="AF52" i="2"/>
  <c r="AG52" i="2"/>
  <c r="AH52" i="2"/>
  <c r="AI52" i="2"/>
  <c r="AJ52" i="2"/>
  <c r="AK52" i="2"/>
  <c r="AL52" i="2"/>
  <c r="AM52" i="2"/>
  <c r="AC53" i="2"/>
  <c r="AD53" i="2"/>
  <c r="AE53" i="2"/>
  <c r="AF53" i="2"/>
  <c r="AG53" i="2"/>
  <c r="AH53" i="2"/>
  <c r="AI53" i="2"/>
  <c r="AJ53" i="2"/>
  <c r="AK53" i="2"/>
  <c r="AL53" i="2"/>
  <c r="AM53" i="2"/>
  <c r="AC54" i="2"/>
  <c r="AD54" i="2"/>
  <c r="AE54" i="2"/>
  <c r="AF54" i="2"/>
  <c r="AG54" i="2"/>
  <c r="AH54" i="2"/>
  <c r="AI54" i="2"/>
  <c r="AJ54" i="2"/>
  <c r="AK54" i="2"/>
  <c r="AL54" i="2"/>
  <c r="AM54" i="2"/>
  <c r="Q39" i="2"/>
  <c r="R39" i="2"/>
  <c r="S39" i="2"/>
  <c r="T39" i="2"/>
  <c r="U39" i="2"/>
  <c r="V39" i="2"/>
  <c r="W39" i="2"/>
  <c r="X39" i="2"/>
  <c r="Y39" i="2"/>
  <c r="Z39" i="2"/>
  <c r="AB39" i="2"/>
  <c r="Q40" i="2"/>
  <c r="R40" i="2"/>
  <c r="S40" i="2"/>
  <c r="T40" i="2"/>
  <c r="U40" i="2"/>
  <c r="V40" i="2"/>
  <c r="W40" i="2"/>
  <c r="X40" i="2"/>
  <c r="Y40" i="2"/>
  <c r="Z40" i="2"/>
  <c r="AB40" i="2"/>
  <c r="Q41" i="2"/>
  <c r="R41" i="2"/>
  <c r="S41" i="2"/>
  <c r="T41" i="2"/>
  <c r="U41" i="2"/>
  <c r="V41" i="2"/>
  <c r="W41" i="2"/>
  <c r="X41" i="2"/>
  <c r="Y41" i="2"/>
  <c r="Z41" i="2"/>
  <c r="AB41" i="2"/>
  <c r="Q42" i="2"/>
  <c r="R42" i="2"/>
  <c r="S42" i="2"/>
  <c r="T42" i="2"/>
  <c r="U42" i="2"/>
  <c r="V42" i="2"/>
  <c r="W42" i="2"/>
  <c r="X42" i="2"/>
  <c r="Y42" i="2"/>
  <c r="Z42" i="2"/>
  <c r="AB42" i="2"/>
  <c r="Q43" i="2"/>
  <c r="R43" i="2"/>
  <c r="S43" i="2"/>
  <c r="T43" i="2"/>
  <c r="U43" i="2"/>
  <c r="V43" i="2"/>
  <c r="W43" i="2"/>
  <c r="X43" i="2"/>
  <c r="Y43" i="2"/>
  <c r="Z43" i="2"/>
  <c r="AB43" i="2"/>
  <c r="Q44" i="2"/>
  <c r="R44" i="2"/>
  <c r="S44" i="2"/>
  <c r="T44" i="2"/>
  <c r="U44" i="2"/>
  <c r="V44" i="2"/>
  <c r="W44" i="2"/>
  <c r="X44" i="2"/>
  <c r="Y44" i="2"/>
  <c r="Z44" i="2"/>
  <c r="AB44" i="2"/>
  <c r="Q45" i="2"/>
  <c r="R45" i="2"/>
  <c r="S45" i="2"/>
  <c r="T45" i="2"/>
  <c r="U45" i="2"/>
  <c r="V45" i="2"/>
  <c r="W45" i="2"/>
  <c r="X45" i="2"/>
  <c r="Y45" i="2"/>
  <c r="Z45" i="2"/>
  <c r="AB45" i="2"/>
  <c r="Q46" i="2"/>
  <c r="R46" i="2"/>
  <c r="S46" i="2"/>
  <c r="T46" i="2"/>
  <c r="U46" i="2"/>
  <c r="V46" i="2"/>
  <c r="W46" i="2"/>
  <c r="X46" i="2"/>
  <c r="Y46" i="2"/>
  <c r="Z46" i="2"/>
  <c r="AB46" i="2"/>
  <c r="Q47" i="2"/>
  <c r="R47" i="2"/>
  <c r="S47" i="2"/>
  <c r="T47" i="2"/>
  <c r="U47" i="2"/>
  <c r="V47" i="2"/>
  <c r="W47" i="2"/>
  <c r="X47" i="2"/>
  <c r="Y47" i="2"/>
  <c r="Z47" i="2"/>
  <c r="AB47" i="2"/>
  <c r="Q48" i="2"/>
  <c r="R48" i="2"/>
  <c r="S48" i="2"/>
  <c r="T48" i="2"/>
  <c r="U48" i="2"/>
  <c r="V48" i="2"/>
  <c r="W48" i="2"/>
  <c r="X48" i="2"/>
  <c r="Y48" i="2"/>
  <c r="Z48" i="2"/>
  <c r="AB48" i="2"/>
  <c r="Q49" i="2"/>
  <c r="R49" i="2"/>
  <c r="S49" i="2"/>
  <c r="T49" i="2"/>
  <c r="U49" i="2"/>
  <c r="V49" i="2"/>
  <c r="W49" i="2"/>
  <c r="X49" i="2"/>
  <c r="Y49" i="2"/>
  <c r="Z49" i="2"/>
  <c r="AB49" i="2"/>
  <c r="Q50" i="2"/>
  <c r="R50" i="2"/>
  <c r="S50" i="2"/>
  <c r="T50" i="2"/>
  <c r="U50" i="2"/>
  <c r="V50" i="2"/>
  <c r="W50" i="2"/>
  <c r="X50" i="2"/>
  <c r="Y50" i="2"/>
  <c r="Z50" i="2"/>
  <c r="AB50" i="2"/>
  <c r="Q51" i="2"/>
  <c r="R51" i="2"/>
  <c r="S51" i="2"/>
  <c r="T51" i="2"/>
  <c r="U51" i="2"/>
  <c r="V51" i="2"/>
  <c r="W51" i="2"/>
  <c r="X51" i="2"/>
  <c r="Y51" i="2"/>
  <c r="Z51" i="2"/>
  <c r="AB51" i="2"/>
  <c r="Q52" i="2"/>
  <c r="R52" i="2"/>
  <c r="S52" i="2"/>
  <c r="T52" i="2"/>
  <c r="U52" i="2"/>
  <c r="V52" i="2"/>
  <c r="W52" i="2"/>
  <c r="X52" i="2"/>
  <c r="Y52" i="2"/>
  <c r="Z52" i="2"/>
  <c r="AB52" i="2"/>
  <c r="Q53" i="2"/>
  <c r="R53" i="2"/>
  <c r="S53" i="2"/>
  <c r="T53" i="2"/>
  <c r="U53" i="2"/>
  <c r="V53" i="2"/>
  <c r="W53" i="2"/>
  <c r="X53" i="2"/>
  <c r="Y53" i="2"/>
  <c r="Z53" i="2"/>
  <c r="AB53" i="2"/>
  <c r="Q54" i="2"/>
  <c r="R54" i="2"/>
  <c r="S54" i="2"/>
  <c r="T54" i="2"/>
  <c r="U54" i="2"/>
  <c r="V54" i="2"/>
  <c r="W54" i="2"/>
  <c r="X54" i="2"/>
  <c r="Y54" i="2"/>
  <c r="Z54" i="2"/>
  <c r="AB54" i="2"/>
  <c r="O39" i="2"/>
  <c r="P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/>
  <c r="O48" i="2"/>
  <c r="P48" i="2"/>
  <c r="O49" i="2"/>
  <c r="P49" i="2"/>
  <c r="O50" i="2"/>
  <c r="P50" i="2"/>
  <c r="O51" i="2"/>
  <c r="P51" i="2"/>
  <c r="O52" i="2"/>
  <c r="P52" i="2"/>
  <c r="O53" i="2"/>
  <c r="P53" i="2"/>
  <c r="O54" i="2"/>
  <c r="P54" i="2"/>
  <c r="B40" i="2"/>
  <c r="C40" i="2"/>
  <c r="D40" i="2"/>
  <c r="E40" i="2"/>
  <c r="F40" i="2"/>
  <c r="G40" i="2"/>
  <c r="H40" i="2"/>
  <c r="I40" i="2"/>
  <c r="J40" i="2"/>
  <c r="K40" i="2"/>
  <c r="L40" i="2"/>
  <c r="M40" i="2"/>
  <c r="B41" i="2"/>
  <c r="C41" i="2"/>
  <c r="D41" i="2"/>
  <c r="E41" i="2"/>
  <c r="F41" i="2"/>
  <c r="G41" i="2"/>
  <c r="H41" i="2"/>
  <c r="I41" i="2"/>
  <c r="J41" i="2"/>
  <c r="K41" i="2"/>
  <c r="L41" i="2"/>
  <c r="M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4" i="2"/>
  <c r="C44" i="2"/>
  <c r="D44" i="2"/>
  <c r="E44" i="2"/>
  <c r="F44" i="2"/>
  <c r="G44" i="2"/>
  <c r="H44" i="2"/>
  <c r="I44" i="2"/>
  <c r="J44" i="2"/>
  <c r="K44" i="2"/>
  <c r="L44" i="2"/>
  <c r="M44" i="2"/>
  <c r="B45" i="2"/>
  <c r="C45" i="2"/>
  <c r="D45" i="2"/>
  <c r="E45" i="2"/>
  <c r="F45" i="2"/>
  <c r="G45" i="2"/>
  <c r="H45" i="2"/>
  <c r="I45" i="2"/>
  <c r="J45" i="2"/>
  <c r="K45" i="2"/>
  <c r="L45" i="2"/>
  <c r="M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C48" i="2"/>
  <c r="D48" i="2"/>
  <c r="E48" i="2"/>
  <c r="F48" i="2"/>
  <c r="G48" i="2"/>
  <c r="H48" i="2"/>
  <c r="I48" i="2"/>
  <c r="J48" i="2"/>
  <c r="K48" i="2"/>
  <c r="L48" i="2"/>
  <c r="M48" i="2"/>
  <c r="B49" i="2"/>
  <c r="C49" i="2"/>
  <c r="D49" i="2"/>
  <c r="E49" i="2"/>
  <c r="F49" i="2"/>
  <c r="G49" i="2"/>
  <c r="H49" i="2"/>
  <c r="I49" i="2"/>
  <c r="J49" i="2"/>
  <c r="K49" i="2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/>
  <c r="F52" i="2"/>
  <c r="G52" i="2"/>
  <c r="H52" i="2"/>
  <c r="I52" i="2"/>
  <c r="J52" i="2"/>
  <c r="K52" i="2"/>
  <c r="L52" i="2"/>
  <c r="M52" i="2"/>
  <c r="B53" i="2"/>
  <c r="C53" i="2"/>
  <c r="D53" i="2"/>
  <c r="E53" i="2"/>
  <c r="F53" i="2"/>
  <c r="G53" i="2"/>
  <c r="H53" i="2"/>
  <c r="I53" i="2"/>
  <c r="J53" i="2"/>
  <c r="K53" i="2"/>
  <c r="L53" i="2"/>
  <c r="M53" i="2"/>
  <c r="B54" i="2"/>
  <c r="C54" i="2"/>
  <c r="D54" i="2"/>
  <c r="E54" i="2"/>
  <c r="F54" i="2"/>
  <c r="G54" i="2"/>
  <c r="H54" i="2"/>
  <c r="I54" i="2"/>
  <c r="J54" i="2"/>
  <c r="K54" i="2"/>
  <c r="L54" i="2"/>
  <c r="M54" i="2"/>
  <c r="C39" i="2"/>
  <c r="D39" i="2"/>
  <c r="E39" i="2"/>
  <c r="F39" i="2"/>
  <c r="G39" i="2"/>
  <c r="H39" i="2"/>
  <c r="I39" i="2"/>
  <c r="J39" i="2"/>
  <c r="K39" i="2"/>
  <c r="L39" i="2"/>
  <c r="M39" i="2"/>
  <c r="B39" i="2"/>
  <c r="AC21" i="2"/>
  <c r="AD21" i="2"/>
  <c r="AE21" i="2"/>
  <c r="AF21" i="2"/>
  <c r="AG21" i="2"/>
  <c r="AH21" i="2"/>
  <c r="AI21" i="2"/>
  <c r="AJ21" i="2"/>
  <c r="AK21" i="2"/>
  <c r="AL21" i="2"/>
  <c r="AM21" i="2"/>
  <c r="AC22" i="2"/>
  <c r="AD22" i="2"/>
  <c r="AE22" i="2"/>
  <c r="AF22" i="2"/>
  <c r="AG22" i="2"/>
  <c r="AH22" i="2"/>
  <c r="AI22" i="2"/>
  <c r="AJ22" i="2"/>
  <c r="AK22" i="2"/>
  <c r="AL22" i="2"/>
  <c r="AM22" i="2"/>
  <c r="AC23" i="2"/>
  <c r="AD23" i="2"/>
  <c r="AE23" i="2"/>
  <c r="AF23" i="2"/>
  <c r="AG23" i="2"/>
  <c r="AH23" i="2"/>
  <c r="AI23" i="2"/>
  <c r="AJ23" i="2"/>
  <c r="AK23" i="2"/>
  <c r="AL23" i="2"/>
  <c r="AM23" i="2"/>
  <c r="AC24" i="2"/>
  <c r="AD24" i="2"/>
  <c r="AE24" i="2"/>
  <c r="AF24" i="2"/>
  <c r="AG24" i="2"/>
  <c r="AH24" i="2"/>
  <c r="AI24" i="2"/>
  <c r="AJ24" i="2"/>
  <c r="AK24" i="2"/>
  <c r="AL24" i="2"/>
  <c r="AM24" i="2"/>
  <c r="AC25" i="2"/>
  <c r="AD25" i="2"/>
  <c r="AE25" i="2"/>
  <c r="AF25" i="2"/>
  <c r="AG25" i="2"/>
  <c r="AH25" i="2"/>
  <c r="AI25" i="2"/>
  <c r="AJ25" i="2"/>
  <c r="AK25" i="2"/>
  <c r="AL25" i="2"/>
  <c r="AM25" i="2"/>
  <c r="AC26" i="2"/>
  <c r="AD26" i="2"/>
  <c r="AE26" i="2"/>
  <c r="AF26" i="2"/>
  <c r="AG26" i="2"/>
  <c r="AH26" i="2"/>
  <c r="AI26" i="2"/>
  <c r="AJ26" i="2"/>
  <c r="AK26" i="2"/>
  <c r="AL26" i="2"/>
  <c r="AM26" i="2"/>
  <c r="AC27" i="2"/>
  <c r="AD27" i="2"/>
  <c r="AE27" i="2"/>
  <c r="AF27" i="2"/>
  <c r="AG27" i="2"/>
  <c r="AH27" i="2"/>
  <c r="AI27" i="2"/>
  <c r="AJ27" i="2"/>
  <c r="AK27" i="2"/>
  <c r="AL27" i="2"/>
  <c r="AM27" i="2"/>
  <c r="AC28" i="2"/>
  <c r="AD28" i="2"/>
  <c r="AE28" i="2"/>
  <c r="AF28" i="2"/>
  <c r="AG28" i="2"/>
  <c r="AH28" i="2"/>
  <c r="AI28" i="2"/>
  <c r="AJ28" i="2"/>
  <c r="AK28" i="2"/>
  <c r="AL28" i="2"/>
  <c r="AM28" i="2"/>
  <c r="AC29" i="2"/>
  <c r="AD29" i="2"/>
  <c r="AE29" i="2"/>
  <c r="AF29" i="2"/>
  <c r="AG29" i="2"/>
  <c r="AH29" i="2"/>
  <c r="AI29" i="2"/>
  <c r="AJ29" i="2"/>
  <c r="AK29" i="2"/>
  <c r="AL29" i="2"/>
  <c r="AM29" i="2"/>
  <c r="AC30" i="2"/>
  <c r="AD30" i="2"/>
  <c r="AE30" i="2"/>
  <c r="AF30" i="2"/>
  <c r="AG30" i="2"/>
  <c r="AH30" i="2"/>
  <c r="AI30" i="2"/>
  <c r="AJ30" i="2"/>
  <c r="AK30" i="2"/>
  <c r="AL30" i="2"/>
  <c r="AM30" i="2"/>
  <c r="AC31" i="2"/>
  <c r="AD31" i="2"/>
  <c r="AE31" i="2"/>
  <c r="AF31" i="2"/>
  <c r="AG31" i="2"/>
  <c r="AH31" i="2"/>
  <c r="AI31" i="2"/>
  <c r="AJ31" i="2"/>
  <c r="AK31" i="2"/>
  <c r="AL31" i="2"/>
  <c r="AM31" i="2"/>
  <c r="AC32" i="2"/>
  <c r="AD32" i="2"/>
  <c r="AE32" i="2"/>
  <c r="AF32" i="2"/>
  <c r="AG32" i="2"/>
  <c r="AH32" i="2"/>
  <c r="AI32" i="2"/>
  <c r="AJ32" i="2"/>
  <c r="AK32" i="2"/>
  <c r="AL32" i="2"/>
  <c r="AM32" i="2"/>
  <c r="AC33" i="2"/>
  <c r="AD33" i="2"/>
  <c r="AE33" i="2"/>
  <c r="AF33" i="2"/>
  <c r="AG33" i="2"/>
  <c r="AH33" i="2"/>
  <c r="AI33" i="2"/>
  <c r="AJ33" i="2"/>
  <c r="AK33" i="2"/>
  <c r="AL33" i="2"/>
  <c r="AM33" i="2"/>
  <c r="AC34" i="2"/>
  <c r="AD34" i="2"/>
  <c r="AE34" i="2"/>
  <c r="AF34" i="2"/>
  <c r="AG34" i="2"/>
  <c r="AH34" i="2"/>
  <c r="AI34" i="2"/>
  <c r="AJ34" i="2"/>
  <c r="AK34" i="2"/>
  <c r="AL34" i="2"/>
  <c r="AM34" i="2"/>
  <c r="AC35" i="2"/>
  <c r="AD35" i="2"/>
  <c r="AE35" i="2"/>
  <c r="AF35" i="2"/>
  <c r="AG35" i="2"/>
  <c r="AH35" i="2"/>
  <c r="AI35" i="2"/>
  <c r="AJ35" i="2"/>
  <c r="AK35" i="2"/>
  <c r="AL35" i="2"/>
  <c r="AM35" i="2"/>
  <c r="AC36" i="2"/>
  <c r="AD36" i="2"/>
  <c r="AE36" i="2"/>
  <c r="AF36" i="2"/>
  <c r="AG36" i="2"/>
  <c r="AH36" i="2"/>
  <c r="AI36" i="2"/>
  <c r="AJ36" i="2"/>
  <c r="AK36" i="2"/>
  <c r="AL36" i="2"/>
  <c r="AM36" i="2"/>
  <c r="P21" i="2"/>
  <c r="Q21" i="2"/>
  <c r="R21" i="2"/>
  <c r="S21" i="2"/>
  <c r="T21" i="2"/>
  <c r="U21" i="2"/>
  <c r="V21" i="2"/>
  <c r="W21" i="2"/>
  <c r="X21" i="2"/>
  <c r="Y21" i="2"/>
  <c r="Z21" i="2"/>
  <c r="AB21" i="2"/>
  <c r="AO22" i="2" s="1"/>
  <c r="P22" i="2"/>
  <c r="Q22" i="2"/>
  <c r="R22" i="2"/>
  <c r="S22" i="2"/>
  <c r="T22" i="2"/>
  <c r="U22" i="2"/>
  <c r="V22" i="2"/>
  <c r="W22" i="2"/>
  <c r="X22" i="2"/>
  <c r="Y22" i="2"/>
  <c r="Z22" i="2"/>
  <c r="AB22" i="2"/>
  <c r="P23" i="2"/>
  <c r="Q23" i="2"/>
  <c r="R23" i="2"/>
  <c r="S23" i="2"/>
  <c r="T23" i="2"/>
  <c r="U23" i="2"/>
  <c r="V23" i="2"/>
  <c r="W23" i="2"/>
  <c r="X23" i="2"/>
  <c r="Y23" i="2"/>
  <c r="Z23" i="2"/>
  <c r="AB23" i="2"/>
  <c r="P24" i="2"/>
  <c r="Q24" i="2"/>
  <c r="R24" i="2"/>
  <c r="S24" i="2"/>
  <c r="T24" i="2"/>
  <c r="U24" i="2"/>
  <c r="V24" i="2"/>
  <c r="W24" i="2"/>
  <c r="X24" i="2"/>
  <c r="Y24" i="2"/>
  <c r="Z24" i="2"/>
  <c r="AB24" i="2"/>
  <c r="P25" i="2"/>
  <c r="Q25" i="2"/>
  <c r="R25" i="2"/>
  <c r="S25" i="2"/>
  <c r="T25" i="2"/>
  <c r="U25" i="2"/>
  <c r="V25" i="2"/>
  <c r="W25" i="2"/>
  <c r="X25" i="2"/>
  <c r="Y25" i="2"/>
  <c r="Z25" i="2"/>
  <c r="AB25" i="2"/>
  <c r="P26" i="2"/>
  <c r="Q26" i="2"/>
  <c r="R26" i="2"/>
  <c r="S26" i="2"/>
  <c r="T26" i="2"/>
  <c r="U26" i="2"/>
  <c r="V26" i="2"/>
  <c r="W26" i="2"/>
  <c r="X26" i="2"/>
  <c r="Y26" i="2"/>
  <c r="Z26" i="2"/>
  <c r="AB26" i="2"/>
  <c r="P27" i="2"/>
  <c r="Q27" i="2"/>
  <c r="R27" i="2"/>
  <c r="S27" i="2"/>
  <c r="T27" i="2"/>
  <c r="U27" i="2"/>
  <c r="V27" i="2"/>
  <c r="W27" i="2"/>
  <c r="X27" i="2"/>
  <c r="Y27" i="2"/>
  <c r="Z27" i="2"/>
  <c r="AB27" i="2"/>
  <c r="P28" i="2"/>
  <c r="Q28" i="2"/>
  <c r="R28" i="2"/>
  <c r="S28" i="2"/>
  <c r="T28" i="2"/>
  <c r="U28" i="2"/>
  <c r="V28" i="2"/>
  <c r="W28" i="2"/>
  <c r="X28" i="2"/>
  <c r="Y28" i="2"/>
  <c r="Z28" i="2"/>
  <c r="AB28" i="2"/>
  <c r="P29" i="2"/>
  <c r="Q29" i="2"/>
  <c r="R29" i="2"/>
  <c r="S29" i="2"/>
  <c r="T29" i="2"/>
  <c r="U29" i="2"/>
  <c r="V29" i="2"/>
  <c r="W29" i="2"/>
  <c r="X29" i="2"/>
  <c r="Y29" i="2"/>
  <c r="Z29" i="2"/>
  <c r="AB29" i="2"/>
  <c r="P30" i="2"/>
  <c r="Q30" i="2"/>
  <c r="R30" i="2"/>
  <c r="S30" i="2"/>
  <c r="T30" i="2"/>
  <c r="U30" i="2"/>
  <c r="V30" i="2"/>
  <c r="W30" i="2"/>
  <c r="X30" i="2"/>
  <c r="Y30" i="2"/>
  <c r="Z30" i="2"/>
  <c r="AB30" i="2"/>
  <c r="P31" i="2"/>
  <c r="Q31" i="2"/>
  <c r="R31" i="2"/>
  <c r="S31" i="2"/>
  <c r="T31" i="2"/>
  <c r="U31" i="2"/>
  <c r="V31" i="2"/>
  <c r="W31" i="2"/>
  <c r="X31" i="2"/>
  <c r="Y31" i="2"/>
  <c r="Z31" i="2"/>
  <c r="AB31" i="2"/>
  <c r="P32" i="2"/>
  <c r="Q32" i="2"/>
  <c r="R32" i="2"/>
  <c r="S32" i="2"/>
  <c r="T32" i="2"/>
  <c r="U32" i="2"/>
  <c r="V32" i="2"/>
  <c r="W32" i="2"/>
  <c r="X32" i="2"/>
  <c r="Y32" i="2"/>
  <c r="Z32" i="2"/>
  <c r="AB32" i="2"/>
  <c r="P33" i="2"/>
  <c r="Q33" i="2"/>
  <c r="R33" i="2"/>
  <c r="S33" i="2"/>
  <c r="T33" i="2"/>
  <c r="U33" i="2"/>
  <c r="V33" i="2"/>
  <c r="W33" i="2"/>
  <c r="X33" i="2"/>
  <c r="Y33" i="2"/>
  <c r="Z33" i="2"/>
  <c r="AB33" i="2"/>
  <c r="P34" i="2"/>
  <c r="Q34" i="2"/>
  <c r="R34" i="2"/>
  <c r="S34" i="2"/>
  <c r="T34" i="2"/>
  <c r="U34" i="2"/>
  <c r="V34" i="2"/>
  <c r="W34" i="2"/>
  <c r="X34" i="2"/>
  <c r="Y34" i="2"/>
  <c r="Z34" i="2"/>
  <c r="AB34" i="2"/>
  <c r="P35" i="2"/>
  <c r="Q35" i="2"/>
  <c r="R35" i="2"/>
  <c r="S35" i="2"/>
  <c r="T35" i="2"/>
  <c r="U35" i="2"/>
  <c r="V35" i="2"/>
  <c r="W35" i="2"/>
  <c r="X35" i="2"/>
  <c r="Y35" i="2"/>
  <c r="Z35" i="2"/>
  <c r="AB35" i="2"/>
  <c r="P36" i="2"/>
  <c r="Q36" i="2"/>
  <c r="R36" i="2"/>
  <c r="S36" i="2"/>
  <c r="T36" i="2"/>
  <c r="U36" i="2"/>
  <c r="V36" i="2"/>
  <c r="W36" i="2"/>
  <c r="X36" i="2"/>
  <c r="Y36" i="2"/>
  <c r="Z36" i="2"/>
  <c r="AB36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C21" i="2"/>
  <c r="D21" i="2"/>
  <c r="E21" i="2"/>
  <c r="F21" i="2"/>
  <c r="G21" i="2"/>
  <c r="H21" i="2"/>
  <c r="I21" i="2"/>
  <c r="J21" i="2"/>
  <c r="K21" i="2"/>
  <c r="L21" i="2"/>
  <c r="M21" i="2"/>
  <c r="C22" i="2"/>
  <c r="D22" i="2"/>
  <c r="E22" i="2"/>
  <c r="F22" i="2"/>
  <c r="G22" i="2"/>
  <c r="H22" i="2"/>
  <c r="I22" i="2"/>
  <c r="J22" i="2"/>
  <c r="K22" i="2"/>
  <c r="L22" i="2"/>
  <c r="M22" i="2"/>
  <c r="C23" i="2"/>
  <c r="D23" i="2"/>
  <c r="E23" i="2"/>
  <c r="F23" i="2"/>
  <c r="G23" i="2"/>
  <c r="H23" i="2"/>
  <c r="I23" i="2"/>
  <c r="J23" i="2"/>
  <c r="K23" i="2"/>
  <c r="L23" i="2"/>
  <c r="M23" i="2"/>
  <c r="C24" i="2"/>
  <c r="D24" i="2"/>
  <c r="E24" i="2"/>
  <c r="F24" i="2"/>
  <c r="G24" i="2"/>
  <c r="H24" i="2"/>
  <c r="I24" i="2"/>
  <c r="J24" i="2"/>
  <c r="K24" i="2"/>
  <c r="L24" i="2"/>
  <c r="M24" i="2"/>
  <c r="C25" i="2"/>
  <c r="D25" i="2"/>
  <c r="E25" i="2"/>
  <c r="F25" i="2"/>
  <c r="G25" i="2"/>
  <c r="H25" i="2"/>
  <c r="I25" i="2"/>
  <c r="J25" i="2"/>
  <c r="K25" i="2"/>
  <c r="L25" i="2"/>
  <c r="M25" i="2"/>
  <c r="C26" i="2"/>
  <c r="D26" i="2"/>
  <c r="E26" i="2"/>
  <c r="F26" i="2"/>
  <c r="G26" i="2"/>
  <c r="H26" i="2"/>
  <c r="I26" i="2"/>
  <c r="J26" i="2"/>
  <c r="K26" i="2"/>
  <c r="L26" i="2"/>
  <c r="M26" i="2"/>
  <c r="C27" i="2"/>
  <c r="D27" i="2"/>
  <c r="E27" i="2"/>
  <c r="F27" i="2"/>
  <c r="G27" i="2"/>
  <c r="H27" i="2"/>
  <c r="I27" i="2"/>
  <c r="J27" i="2"/>
  <c r="K27" i="2"/>
  <c r="L27" i="2"/>
  <c r="M27" i="2"/>
  <c r="C28" i="2"/>
  <c r="D28" i="2"/>
  <c r="E28" i="2"/>
  <c r="F28" i="2"/>
  <c r="G28" i="2"/>
  <c r="H28" i="2"/>
  <c r="I28" i="2"/>
  <c r="J28" i="2"/>
  <c r="K28" i="2"/>
  <c r="L28" i="2"/>
  <c r="M28" i="2"/>
  <c r="C29" i="2"/>
  <c r="D29" i="2"/>
  <c r="E29" i="2"/>
  <c r="F29" i="2"/>
  <c r="G29" i="2"/>
  <c r="H29" i="2"/>
  <c r="I29" i="2"/>
  <c r="J29" i="2"/>
  <c r="K29" i="2"/>
  <c r="L29" i="2"/>
  <c r="M29" i="2"/>
  <c r="C30" i="2"/>
  <c r="D30" i="2"/>
  <c r="E30" i="2"/>
  <c r="F30" i="2"/>
  <c r="G30" i="2"/>
  <c r="H30" i="2"/>
  <c r="I30" i="2"/>
  <c r="J30" i="2"/>
  <c r="K30" i="2"/>
  <c r="L30" i="2"/>
  <c r="M30" i="2"/>
  <c r="C31" i="2"/>
  <c r="D31" i="2"/>
  <c r="E31" i="2"/>
  <c r="F31" i="2"/>
  <c r="G31" i="2"/>
  <c r="H31" i="2"/>
  <c r="I31" i="2"/>
  <c r="J31" i="2"/>
  <c r="K31" i="2"/>
  <c r="L31" i="2"/>
  <c r="M31" i="2"/>
  <c r="C32" i="2"/>
  <c r="D32" i="2"/>
  <c r="E32" i="2"/>
  <c r="F32" i="2"/>
  <c r="G32" i="2"/>
  <c r="H32" i="2"/>
  <c r="I32" i="2"/>
  <c r="J32" i="2"/>
  <c r="K32" i="2"/>
  <c r="L32" i="2"/>
  <c r="M32" i="2"/>
  <c r="C33" i="2"/>
  <c r="D33" i="2"/>
  <c r="E33" i="2"/>
  <c r="F33" i="2"/>
  <c r="G33" i="2"/>
  <c r="H33" i="2"/>
  <c r="I33" i="2"/>
  <c r="J33" i="2"/>
  <c r="K33" i="2"/>
  <c r="L33" i="2"/>
  <c r="M33" i="2"/>
  <c r="C34" i="2"/>
  <c r="D34" i="2"/>
  <c r="E34" i="2"/>
  <c r="F34" i="2"/>
  <c r="G34" i="2"/>
  <c r="H34" i="2"/>
  <c r="I34" i="2"/>
  <c r="J34" i="2"/>
  <c r="K34" i="2"/>
  <c r="L34" i="2"/>
  <c r="M34" i="2"/>
  <c r="C35" i="2"/>
  <c r="D35" i="2"/>
  <c r="E35" i="2"/>
  <c r="F35" i="2"/>
  <c r="G35" i="2"/>
  <c r="H35" i="2"/>
  <c r="I35" i="2"/>
  <c r="J35" i="2"/>
  <c r="K35" i="2"/>
  <c r="L35" i="2"/>
  <c r="M35" i="2"/>
  <c r="C36" i="2"/>
  <c r="D36" i="2"/>
  <c r="E36" i="2"/>
  <c r="F36" i="2"/>
  <c r="G36" i="2"/>
  <c r="H36" i="2"/>
  <c r="I36" i="2"/>
  <c r="J36" i="2"/>
  <c r="K36" i="2"/>
  <c r="L36" i="2"/>
  <c r="M36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21" i="2"/>
  <c r="AK3" i="2"/>
  <c r="AL3" i="2"/>
  <c r="AM3" i="2"/>
  <c r="AK4" i="2"/>
  <c r="AL4" i="2"/>
  <c r="AM4" i="2"/>
  <c r="AK5" i="2"/>
  <c r="AL5" i="2"/>
  <c r="AM5" i="2"/>
  <c r="AK6" i="2"/>
  <c r="AL6" i="2"/>
  <c r="AM6" i="2"/>
  <c r="AK7" i="2"/>
  <c r="AL7" i="2"/>
  <c r="AM7" i="2"/>
  <c r="AK8" i="2"/>
  <c r="AL8" i="2"/>
  <c r="AM8" i="2"/>
  <c r="AK9" i="2"/>
  <c r="AL9" i="2"/>
  <c r="AM9" i="2"/>
  <c r="AK10" i="2"/>
  <c r="AL10" i="2"/>
  <c r="AM10" i="2"/>
  <c r="AK11" i="2"/>
  <c r="AL11" i="2"/>
  <c r="AM11" i="2"/>
  <c r="AK12" i="2"/>
  <c r="AL12" i="2"/>
  <c r="AM12" i="2"/>
  <c r="AK13" i="2"/>
  <c r="AL13" i="2"/>
  <c r="AM13" i="2"/>
  <c r="AK14" i="2"/>
  <c r="AL14" i="2"/>
  <c r="AM14" i="2"/>
  <c r="AK15" i="2"/>
  <c r="AL15" i="2"/>
  <c r="AM15" i="2"/>
  <c r="AK16" i="2"/>
  <c r="AL16" i="2"/>
  <c r="AM16" i="2"/>
  <c r="AK17" i="2"/>
  <c r="AL17" i="2"/>
  <c r="AM17" i="2"/>
  <c r="AK18" i="2"/>
  <c r="AL18" i="2"/>
  <c r="AM18" i="2"/>
  <c r="AC3" i="2"/>
  <c r="AD3" i="2"/>
  <c r="AE3" i="2"/>
  <c r="AF3" i="2"/>
  <c r="AG3" i="2"/>
  <c r="AH3" i="2"/>
  <c r="AI3" i="2"/>
  <c r="AJ3" i="2"/>
  <c r="AC4" i="2"/>
  <c r="AD4" i="2"/>
  <c r="AE4" i="2"/>
  <c r="AF4" i="2"/>
  <c r="AG4" i="2"/>
  <c r="AH4" i="2"/>
  <c r="AI4" i="2"/>
  <c r="AJ4" i="2"/>
  <c r="AC5" i="2"/>
  <c r="AD5" i="2"/>
  <c r="AE5" i="2"/>
  <c r="AF5" i="2"/>
  <c r="AG5" i="2"/>
  <c r="AH5" i="2"/>
  <c r="AI5" i="2"/>
  <c r="AJ5" i="2"/>
  <c r="AC6" i="2"/>
  <c r="AD6" i="2"/>
  <c r="AE6" i="2"/>
  <c r="AF6" i="2"/>
  <c r="AG6" i="2"/>
  <c r="AH6" i="2"/>
  <c r="AI6" i="2"/>
  <c r="AJ6" i="2"/>
  <c r="AC7" i="2"/>
  <c r="AD7" i="2"/>
  <c r="AE7" i="2"/>
  <c r="AF7" i="2"/>
  <c r="AG7" i="2"/>
  <c r="AH7" i="2"/>
  <c r="AI7" i="2"/>
  <c r="AJ7" i="2"/>
  <c r="AC8" i="2"/>
  <c r="AD8" i="2"/>
  <c r="AE8" i="2"/>
  <c r="AF8" i="2"/>
  <c r="AG8" i="2"/>
  <c r="AH8" i="2"/>
  <c r="AI8" i="2"/>
  <c r="AJ8" i="2"/>
  <c r="AC9" i="2"/>
  <c r="AD9" i="2"/>
  <c r="AE9" i="2"/>
  <c r="AF9" i="2"/>
  <c r="AG9" i="2"/>
  <c r="AH9" i="2"/>
  <c r="AI9" i="2"/>
  <c r="AJ9" i="2"/>
  <c r="AC10" i="2"/>
  <c r="AD10" i="2"/>
  <c r="AE10" i="2"/>
  <c r="AF10" i="2"/>
  <c r="AG10" i="2"/>
  <c r="AH10" i="2"/>
  <c r="AI10" i="2"/>
  <c r="AJ10" i="2"/>
  <c r="AC11" i="2"/>
  <c r="AD11" i="2"/>
  <c r="AE11" i="2"/>
  <c r="AF11" i="2"/>
  <c r="AG11" i="2"/>
  <c r="AH11" i="2"/>
  <c r="AI11" i="2"/>
  <c r="AJ11" i="2"/>
  <c r="AC12" i="2"/>
  <c r="AD12" i="2"/>
  <c r="AE12" i="2"/>
  <c r="AF12" i="2"/>
  <c r="AG12" i="2"/>
  <c r="AH12" i="2"/>
  <c r="AI12" i="2"/>
  <c r="AJ12" i="2"/>
  <c r="AC13" i="2"/>
  <c r="AD13" i="2"/>
  <c r="AE13" i="2"/>
  <c r="AF13" i="2"/>
  <c r="AG13" i="2"/>
  <c r="AH13" i="2"/>
  <c r="AI13" i="2"/>
  <c r="AJ13" i="2"/>
  <c r="AC14" i="2"/>
  <c r="AD14" i="2"/>
  <c r="AE14" i="2"/>
  <c r="AF14" i="2"/>
  <c r="AG14" i="2"/>
  <c r="AH14" i="2"/>
  <c r="AI14" i="2"/>
  <c r="AJ14" i="2"/>
  <c r="AC15" i="2"/>
  <c r="AD15" i="2"/>
  <c r="AE15" i="2"/>
  <c r="AF15" i="2"/>
  <c r="AG15" i="2"/>
  <c r="AH15" i="2"/>
  <c r="AI15" i="2"/>
  <c r="AJ15" i="2"/>
  <c r="AC16" i="2"/>
  <c r="AD16" i="2"/>
  <c r="AE16" i="2"/>
  <c r="AF16" i="2"/>
  <c r="AG16" i="2"/>
  <c r="AH16" i="2"/>
  <c r="AI16" i="2"/>
  <c r="AJ16" i="2"/>
  <c r="AC17" i="2"/>
  <c r="AD17" i="2"/>
  <c r="AE17" i="2"/>
  <c r="AF17" i="2"/>
  <c r="AG17" i="2"/>
  <c r="AH17" i="2"/>
  <c r="AI17" i="2"/>
  <c r="AJ17" i="2"/>
  <c r="AC18" i="2"/>
  <c r="AD18" i="2"/>
  <c r="AE18" i="2"/>
  <c r="AF18" i="2"/>
  <c r="AG18" i="2"/>
  <c r="AH18" i="2"/>
  <c r="AI18" i="2"/>
  <c r="AJ18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3" i="2"/>
  <c r="AO4" i="2" s="1"/>
  <c r="O4" i="2"/>
  <c r="P4" i="2"/>
  <c r="Q4" i="2"/>
  <c r="R4" i="2"/>
  <c r="S4" i="2"/>
  <c r="T4" i="2"/>
  <c r="U4" i="2"/>
  <c r="V4" i="2"/>
  <c r="W4" i="2"/>
  <c r="X4" i="2"/>
  <c r="Y4" i="2"/>
  <c r="Z4" i="2"/>
  <c r="O5" i="2"/>
  <c r="P5" i="2"/>
  <c r="Q5" i="2"/>
  <c r="R5" i="2"/>
  <c r="S5" i="2"/>
  <c r="T5" i="2"/>
  <c r="U5" i="2"/>
  <c r="V5" i="2"/>
  <c r="W5" i="2"/>
  <c r="X5" i="2"/>
  <c r="Y5" i="2"/>
  <c r="Z5" i="2"/>
  <c r="O6" i="2"/>
  <c r="P6" i="2"/>
  <c r="Q6" i="2"/>
  <c r="R6" i="2"/>
  <c r="S6" i="2"/>
  <c r="T6" i="2"/>
  <c r="U6" i="2"/>
  <c r="V6" i="2"/>
  <c r="W6" i="2"/>
  <c r="X6" i="2"/>
  <c r="Y6" i="2"/>
  <c r="Z6" i="2"/>
  <c r="O7" i="2"/>
  <c r="P7" i="2"/>
  <c r="Q7" i="2"/>
  <c r="R7" i="2"/>
  <c r="S7" i="2"/>
  <c r="T7" i="2"/>
  <c r="U7" i="2"/>
  <c r="V7" i="2"/>
  <c r="W7" i="2"/>
  <c r="X7" i="2"/>
  <c r="Y7" i="2"/>
  <c r="Z7" i="2"/>
  <c r="O8" i="2"/>
  <c r="P8" i="2"/>
  <c r="Q8" i="2"/>
  <c r="R8" i="2"/>
  <c r="S8" i="2"/>
  <c r="T8" i="2"/>
  <c r="U8" i="2"/>
  <c r="V8" i="2"/>
  <c r="W8" i="2"/>
  <c r="X8" i="2"/>
  <c r="Y8" i="2"/>
  <c r="Z8" i="2"/>
  <c r="O9" i="2"/>
  <c r="P9" i="2"/>
  <c r="Q9" i="2"/>
  <c r="R9" i="2"/>
  <c r="S9" i="2"/>
  <c r="T9" i="2"/>
  <c r="U9" i="2"/>
  <c r="V9" i="2"/>
  <c r="W9" i="2"/>
  <c r="X9" i="2"/>
  <c r="Y9" i="2"/>
  <c r="Z9" i="2"/>
  <c r="O10" i="2"/>
  <c r="P10" i="2"/>
  <c r="Q10" i="2"/>
  <c r="R10" i="2"/>
  <c r="S10" i="2"/>
  <c r="T10" i="2"/>
  <c r="U10" i="2"/>
  <c r="V10" i="2"/>
  <c r="W10" i="2"/>
  <c r="X10" i="2"/>
  <c r="Y10" i="2"/>
  <c r="Z10" i="2"/>
  <c r="O11" i="2"/>
  <c r="P11" i="2"/>
  <c r="Q11" i="2"/>
  <c r="R11" i="2"/>
  <c r="S11" i="2"/>
  <c r="T11" i="2"/>
  <c r="U11" i="2"/>
  <c r="V11" i="2"/>
  <c r="W11" i="2"/>
  <c r="X11" i="2"/>
  <c r="Y11" i="2"/>
  <c r="Z11" i="2"/>
  <c r="O12" i="2"/>
  <c r="P12" i="2"/>
  <c r="Q12" i="2"/>
  <c r="R12" i="2"/>
  <c r="S12" i="2"/>
  <c r="T12" i="2"/>
  <c r="U12" i="2"/>
  <c r="V12" i="2"/>
  <c r="W12" i="2"/>
  <c r="X12" i="2"/>
  <c r="Y12" i="2"/>
  <c r="Z12" i="2"/>
  <c r="O13" i="2"/>
  <c r="P13" i="2"/>
  <c r="Q13" i="2"/>
  <c r="R13" i="2"/>
  <c r="S13" i="2"/>
  <c r="T13" i="2"/>
  <c r="U13" i="2"/>
  <c r="V13" i="2"/>
  <c r="W13" i="2"/>
  <c r="X13" i="2"/>
  <c r="Y13" i="2"/>
  <c r="Z13" i="2"/>
  <c r="O14" i="2"/>
  <c r="P14" i="2"/>
  <c r="Q14" i="2"/>
  <c r="R14" i="2"/>
  <c r="S14" i="2"/>
  <c r="T14" i="2"/>
  <c r="U14" i="2"/>
  <c r="V14" i="2"/>
  <c r="W14" i="2"/>
  <c r="X14" i="2"/>
  <c r="Y14" i="2"/>
  <c r="Z14" i="2"/>
  <c r="O15" i="2"/>
  <c r="P15" i="2"/>
  <c r="Q15" i="2"/>
  <c r="R15" i="2"/>
  <c r="S15" i="2"/>
  <c r="T15" i="2"/>
  <c r="U15" i="2"/>
  <c r="V15" i="2"/>
  <c r="W15" i="2"/>
  <c r="X15" i="2"/>
  <c r="Y15" i="2"/>
  <c r="Z15" i="2"/>
  <c r="O16" i="2"/>
  <c r="P16" i="2"/>
  <c r="Q16" i="2"/>
  <c r="R16" i="2"/>
  <c r="S16" i="2"/>
  <c r="T16" i="2"/>
  <c r="U16" i="2"/>
  <c r="V16" i="2"/>
  <c r="W16" i="2"/>
  <c r="X16" i="2"/>
  <c r="Y16" i="2"/>
  <c r="Z16" i="2"/>
  <c r="O17" i="2"/>
  <c r="P17" i="2"/>
  <c r="Q17" i="2"/>
  <c r="R17" i="2"/>
  <c r="S17" i="2"/>
  <c r="T17" i="2"/>
  <c r="U17" i="2"/>
  <c r="V17" i="2"/>
  <c r="W17" i="2"/>
  <c r="X17" i="2"/>
  <c r="Y17" i="2"/>
  <c r="Z17" i="2"/>
  <c r="O18" i="2"/>
  <c r="P18" i="2"/>
  <c r="Q18" i="2"/>
  <c r="R18" i="2"/>
  <c r="S18" i="2"/>
  <c r="T18" i="2"/>
  <c r="U18" i="2"/>
  <c r="V18" i="2"/>
  <c r="W18" i="2"/>
  <c r="X18" i="2"/>
  <c r="Y18" i="2"/>
  <c r="Z18" i="2"/>
  <c r="P3" i="2"/>
  <c r="Q3" i="2"/>
  <c r="R3" i="2"/>
  <c r="S3" i="2"/>
  <c r="T3" i="2"/>
  <c r="U3" i="2"/>
  <c r="V3" i="2"/>
  <c r="W3" i="2"/>
  <c r="X3" i="2"/>
  <c r="Y3" i="2"/>
  <c r="Z3" i="2"/>
  <c r="O3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1" i="2"/>
  <c r="C11" i="2"/>
  <c r="D11" i="2"/>
  <c r="E11" i="2"/>
  <c r="F11" i="2"/>
  <c r="G11" i="2"/>
  <c r="H11" i="2"/>
  <c r="I11" i="2"/>
  <c r="J11" i="2"/>
  <c r="K11" i="2"/>
  <c r="L11" i="2"/>
  <c r="M11" i="2"/>
  <c r="B12" i="2"/>
  <c r="C12" i="2"/>
  <c r="D12" i="2"/>
  <c r="E12" i="2"/>
  <c r="F12" i="2"/>
  <c r="G12" i="2"/>
  <c r="H12" i="2"/>
  <c r="I12" i="2"/>
  <c r="J12" i="2"/>
  <c r="K12" i="2"/>
  <c r="L12" i="2"/>
  <c r="M12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C3" i="2"/>
  <c r="D3" i="2"/>
  <c r="E3" i="2"/>
  <c r="F3" i="2"/>
  <c r="G3" i="2"/>
  <c r="H3" i="2"/>
  <c r="I3" i="2"/>
  <c r="J3" i="2"/>
  <c r="K3" i="2"/>
  <c r="L3" i="2"/>
  <c r="M3" i="2"/>
  <c r="B3" i="2"/>
  <c r="AO21" i="2" l="1"/>
</calcChain>
</file>

<file path=xl/sharedStrings.xml><?xml version="1.0" encoding="utf-8"?>
<sst xmlns="http://schemas.openxmlformats.org/spreadsheetml/2006/main" count="366" uniqueCount="147">
  <si>
    <t>A</t>
  </si>
  <si>
    <t>B</t>
  </si>
  <si>
    <t>C</t>
  </si>
  <si>
    <t>D</t>
  </si>
  <si>
    <t>E</t>
  </si>
  <si>
    <t>F</t>
  </si>
  <si>
    <t>G</t>
  </si>
  <si>
    <t>H</t>
  </si>
  <si>
    <t>mit deckel</t>
  </si>
  <si>
    <t>t0</t>
  </si>
  <si>
    <t>2.abiotic</t>
  </si>
  <si>
    <t>t1</t>
  </si>
  <si>
    <t>t2</t>
  </si>
  <si>
    <t>t3</t>
  </si>
  <si>
    <t>PM2.2</t>
  </si>
  <si>
    <t>PM2.1</t>
  </si>
  <si>
    <t>PM2.3</t>
  </si>
  <si>
    <t>t4</t>
  </si>
  <si>
    <t>72 h</t>
  </si>
  <si>
    <t>-</t>
  </si>
  <si>
    <t>PM2A.1</t>
  </si>
  <si>
    <t>Legende:</t>
  </si>
  <si>
    <t>dye reduktion über 0,1 mit kovalentem antieg im wachstum. gilt nur wenn kein anderes symbol im 750 nm feld</t>
  </si>
  <si>
    <t>2 von 3 zeigten vergeichbares wachstum</t>
  </si>
  <si>
    <t>1 von 3 zeigte wachstum</t>
  </si>
  <si>
    <t>dye reduktion ohne wachstum. vergleich mit abiotic bestätigt abiotic dye reduction</t>
  </si>
  <si>
    <t>Wachstum in Modell und Test</t>
  </si>
  <si>
    <t>Kein Wachstum in Modell, aber in Test</t>
  </si>
  <si>
    <t>kein Wachstum in Modell, aber in 2/3 Tests</t>
  </si>
  <si>
    <t>A10</t>
  </si>
  <si>
    <t>Laminarin</t>
  </si>
  <si>
    <t>CAS 9008-22-4</t>
  </si>
  <si>
    <t>C00771</t>
  </si>
  <si>
    <t>A12</t>
  </si>
  <si>
    <t>Pectin</t>
  </si>
  <si>
    <t>CAS 9000-69-5</t>
  </si>
  <si>
    <t>C00714</t>
  </si>
  <si>
    <t>pectin</t>
  </si>
  <si>
    <t>B03</t>
  </si>
  <si>
    <t>b-D-Allose</t>
  </si>
  <si>
    <t>CAS 2595-97-3</t>
  </si>
  <si>
    <t>C01487</t>
  </si>
  <si>
    <t>B04</t>
  </si>
  <si>
    <t>Amygdalin</t>
  </si>
  <si>
    <t>CAS 29883-15-6</t>
  </si>
  <si>
    <t>C08325</t>
  </si>
  <si>
    <t>B05</t>
  </si>
  <si>
    <t>D-Arabinose</t>
  </si>
  <si>
    <t>CAS 10323-20-3</t>
  </si>
  <si>
    <t>C00216</t>
  </si>
  <si>
    <t>arab_D</t>
  </si>
  <si>
    <t>B06</t>
  </si>
  <si>
    <t>D-Arabitol</t>
  </si>
  <si>
    <t>CAS 488-82-4</t>
  </si>
  <si>
    <t>C01904</t>
  </si>
  <si>
    <t>abt_D</t>
  </si>
  <si>
    <t>B07</t>
  </si>
  <si>
    <t>L-Arabitol</t>
  </si>
  <si>
    <t>CAS 7643-75-6</t>
  </si>
  <si>
    <t>C00532</t>
  </si>
  <si>
    <t>abt</t>
  </si>
  <si>
    <t>B09</t>
  </si>
  <si>
    <t>2-Deoxy-D-Ribose</t>
  </si>
  <si>
    <t>CAS 533-67-5</t>
  </si>
  <si>
    <t>C01801</t>
  </si>
  <si>
    <t>drib</t>
  </si>
  <si>
    <t>B10</t>
  </si>
  <si>
    <t>i-Erythritol</t>
  </si>
  <si>
    <t>CAS 149-32-6</t>
  </si>
  <si>
    <t>C00503</t>
  </si>
  <si>
    <t>C04</t>
  </si>
  <si>
    <t>D-Melezitose</t>
  </si>
  <si>
    <t>CAS 10030-67-8</t>
  </si>
  <si>
    <t>C08243</t>
  </si>
  <si>
    <t>C05</t>
  </si>
  <si>
    <t>Maltitol</t>
  </si>
  <si>
    <t>CAS 585-88-6</t>
  </si>
  <si>
    <t>G00275</t>
  </si>
  <si>
    <t>C12</t>
  </si>
  <si>
    <t>Palatinose</t>
  </si>
  <si>
    <t>CAS 13718-94-0</t>
  </si>
  <si>
    <t>C01742</t>
  </si>
  <si>
    <t>D07</t>
  </si>
  <si>
    <t>Turanose</t>
  </si>
  <si>
    <t>CAS 547-25-1</t>
  </si>
  <si>
    <t>G03588</t>
  </si>
  <si>
    <t>E04</t>
  </si>
  <si>
    <t>Citramalic acid</t>
  </si>
  <si>
    <t>CAS 6236-10-8</t>
  </si>
  <si>
    <t>C00815</t>
  </si>
  <si>
    <t>E09</t>
  </si>
  <si>
    <t>g-Hydroxybutyric acid</t>
  </si>
  <si>
    <t>CAS 502-85-2</t>
  </si>
  <si>
    <t>C00989</t>
  </si>
  <si>
    <t>F09</t>
  </si>
  <si>
    <t>Sorbic acid</t>
  </si>
  <si>
    <t>CAS 110-44-1</t>
  </si>
  <si>
    <t>G04</t>
  </si>
  <si>
    <t>L-Arginine</t>
  </si>
  <si>
    <t>CAS 1119-34-2</t>
  </si>
  <si>
    <t>C00062</t>
  </si>
  <si>
    <t>arg_L</t>
  </si>
  <si>
    <t>G10</t>
  </si>
  <si>
    <t>L-Leucine</t>
  </si>
  <si>
    <t>CAS 61-90-5</t>
  </si>
  <si>
    <t>C00123</t>
  </si>
  <si>
    <t>leu_L</t>
  </si>
  <si>
    <t>H09</t>
  </si>
  <si>
    <t>Dihydroxyacetone</t>
  </si>
  <si>
    <t>CAS 96-26-4</t>
  </si>
  <si>
    <t>C00184</t>
  </si>
  <si>
    <t>dha</t>
  </si>
  <si>
    <t>C01</t>
  </si>
  <si>
    <t>Gentiobiose</t>
  </si>
  <si>
    <t>CAS 554-91-6</t>
  </si>
  <si>
    <t>C08240</t>
  </si>
  <si>
    <t>D01</t>
  </si>
  <si>
    <t>D-Raffinose</t>
  </si>
  <si>
    <t>CAS 17629-30-0</t>
  </si>
  <si>
    <t>C00492</t>
  </si>
  <si>
    <t>E08</t>
  </si>
  <si>
    <t>b-Hydroxybutyric acid</t>
  </si>
  <si>
    <t>CAS 150-83-4</t>
  </si>
  <si>
    <t>C01089</t>
  </si>
  <si>
    <t>F05</t>
  </si>
  <si>
    <t>Oxalomalic acid</t>
  </si>
  <si>
    <t>CAS 89304-26-7</t>
  </si>
  <si>
    <t>C01990</t>
  </si>
  <si>
    <t>G02</t>
  </si>
  <si>
    <t>L-Alaninamide</t>
  </si>
  <si>
    <t>CAS 33208-99-0</t>
  </si>
  <si>
    <t>H04</t>
  </si>
  <si>
    <t>L-Valine</t>
  </si>
  <si>
    <t>CAS 72-18-4</t>
  </si>
  <si>
    <t>C00183</t>
  </si>
  <si>
    <t>val_L</t>
  </si>
  <si>
    <t>D08</t>
  </si>
  <si>
    <t>Xylitol</t>
  </si>
  <si>
    <t>CAS 87-99-0</t>
  </si>
  <si>
    <t>C00379</t>
  </si>
  <si>
    <t>xylt</t>
  </si>
  <si>
    <t>G09</t>
  </si>
  <si>
    <t>L-Isoleucine</t>
  </si>
  <si>
    <t>CAS 73-32-5</t>
  </si>
  <si>
    <t>C00407</t>
  </si>
  <si>
    <t>ile_L</t>
  </si>
  <si>
    <t>Ergeniss: Vergleich Modell mit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</si>
</sst>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</fonts>
  <fills count="3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6" fillId="24" borderId="0" applyNumberFormat="0" applyBorder="0" applyAlignment="0" applyProtection="0"/>
    <xf numFmtId="0" fontId="7" fillId="25" borderId="4" applyNumberFormat="0" applyAlignment="0" applyProtection="0"/>
    <xf numFmtId="0" fontId="8" fillId="26" borderId="5" applyNumberFormat="0" applyAlignment="0" applyProtection="0"/>
    <xf numFmtId="0" fontId="11" fillId="0" borderId="0">
      <alignment vertical="center"/>
    </xf>
  </cellStyleXfs>
  <cellXfs count="56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5" fillId="23" borderId="0" xfId="2"/>
    <xf numFmtId="0" fontId="6" fillId="24" borderId="0" xfId="3"/>
    <xf numFmtId="0" fontId="7" fillId="25" borderId="4" xfId="4"/>
    <xf numFmtId="0" fontId="4" fillId="22" borderId="0" xfId="1"/>
    <xf numFmtId="0" fontId="8" fillId="26" borderId="5" xfId="5"/>
    <xf numFmtId="0" fontId="0" fillId="27" borderId="0" xfId="0" applyFill="1"/>
    <xf numFmtId="0" fontId="8" fillId="17" borderId="5" xfId="5" applyFill="1"/>
    <xf numFmtId="0" fontId="8" fillId="19" borderId="5" xfId="5" applyFill="1"/>
    <xf numFmtId="0" fontId="8" fillId="28" borderId="5" xfId="5" applyFill="1"/>
    <xf numFmtId="0" fontId="0" fillId="27" borderId="0" xfId="0" applyFill="1" applyBorder="1"/>
    <xf numFmtId="0" fontId="0" fillId="28" borderId="0" xfId="0" applyFill="1"/>
    <xf numFmtId="0" fontId="0" fillId="29" borderId="0" xfId="0" applyFill="1"/>
    <xf numFmtId="0" fontId="10" fillId="0" borderId="6" xfId="0" applyFont="1" applyBorder="1" applyAlignment="1">
      <alignment vertical="center"/>
    </xf>
    <xf numFmtId="49" fontId="10" fillId="0" borderId="6" xfId="6" applyNumberFormat="1" applyFont="1" applyBorder="1" applyAlignment="1">
      <alignment vertical="top"/>
    </xf>
    <xf numFmtId="0" fontId="9" fillId="0" borderId="0" xfId="0" applyFont="1"/>
    <xf numFmtId="0" fontId="10" fillId="0" borderId="6" xfId="6" applyFont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7">
    <cellStyle name="Ausgabe" xfId="5" builtinId="21"/>
    <cellStyle name="Eingabe" xfId="4" builtinId="20"/>
    <cellStyle name="Gut" xfId="1" builtinId="26"/>
    <cellStyle name="Neutral" xfId="3" builtinId="28"/>
    <cellStyle name="Normal_Current version" xfId="6"/>
    <cellStyle name="Schlecht" xfId="2" builtinId="27"/>
    <cellStyle name="Stand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4"/>
  <sheetViews>
    <sheetView topLeftCell="AB70" zoomScaleNormal="100" workbookViewId="0">
      <selection activeCell="BB93" sqref="BB93:BB94"/>
    </sheetView>
  </sheetViews>
  <sheetFormatPr baseColWidth="10" defaultColWidth="9.140625" defaultRowHeight="15"/>
  <sheetData>
    <row r="1" spans="1:56">
      <c r="A1" t="s">
        <v>9</v>
      </c>
      <c r="B1">
        <v>2.1</v>
      </c>
      <c r="AP1" t="s">
        <v>8</v>
      </c>
      <c r="AQ1" t="s">
        <v>9</v>
      </c>
      <c r="AR1" t="s">
        <v>10</v>
      </c>
    </row>
    <row r="2" spans="1:56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AQ2" s="1"/>
      <c r="AR2" s="2">
        <v>1</v>
      </c>
      <c r="AS2" s="2">
        <v>2</v>
      </c>
      <c r="AT2" s="2">
        <v>3</v>
      </c>
      <c r="AU2" s="2">
        <v>4</v>
      </c>
      <c r="AV2" s="2">
        <v>5</v>
      </c>
      <c r="AW2" s="2">
        <v>6</v>
      </c>
      <c r="AX2" s="2">
        <v>7</v>
      </c>
      <c r="AY2" s="2">
        <v>8</v>
      </c>
      <c r="AZ2" s="2">
        <v>9</v>
      </c>
      <c r="BA2" s="2">
        <v>10</v>
      </c>
      <c r="BB2" s="2">
        <v>11</v>
      </c>
      <c r="BC2" s="2">
        <v>12</v>
      </c>
    </row>
    <row r="3" spans="1:56">
      <c r="A3" s="54" t="s">
        <v>0</v>
      </c>
      <c r="B3" s="6">
        <v>0.123</v>
      </c>
      <c r="C3" s="6">
        <v>0.115</v>
      </c>
      <c r="D3" s="6">
        <v>0.12</v>
      </c>
      <c r="E3" s="6">
        <v>0.129</v>
      </c>
      <c r="F3" s="6">
        <v>0.115</v>
      </c>
      <c r="G3" s="6">
        <v>0.129</v>
      </c>
      <c r="H3" s="5">
        <v>0.14599999999999999</v>
      </c>
      <c r="I3" s="6">
        <v>0.128</v>
      </c>
      <c r="J3" s="6">
        <v>0.12</v>
      </c>
      <c r="K3" s="6">
        <v>0.11899999999999999</v>
      </c>
      <c r="L3" s="6">
        <v>0.121</v>
      </c>
      <c r="M3" s="20">
        <v>0.21299999999999999</v>
      </c>
      <c r="N3" s="7">
        <v>490</v>
      </c>
      <c r="AQ3" s="54" t="s">
        <v>0</v>
      </c>
      <c r="AR3" s="6">
        <v>0.112</v>
      </c>
      <c r="AS3" s="6">
        <v>0.112</v>
      </c>
      <c r="AT3" s="6">
        <v>0.11600000000000001</v>
      </c>
      <c r="AU3" s="5">
        <v>0.11899999999999999</v>
      </c>
      <c r="AV3" s="5">
        <v>0.11899999999999999</v>
      </c>
      <c r="AW3" s="3">
        <v>0.13600000000000001</v>
      </c>
      <c r="AX3" s="20">
        <v>0.14499999999999999</v>
      </c>
      <c r="AY3" s="5">
        <v>0.121</v>
      </c>
      <c r="AZ3" s="3">
        <v>0.13600000000000001</v>
      </c>
      <c r="BA3" s="6">
        <v>0.111</v>
      </c>
      <c r="BB3" s="5">
        <v>0.11899999999999999</v>
      </c>
      <c r="BC3" s="27">
        <v>0.20499999999999999</v>
      </c>
      <c r="BD3" s="7">
        <v>490</v>
      </c>
    </row>
    <row r="4" spans="1:56">
      <c r="A4" s="55"/>
      <c r="B4" s="14">
        <v>9.2999999999999999E-2</v>
      </c>
      <c r="C4" s="14">
        <v>8.7999999999999995E-2</v>
      </c>
      <c r="D4" s="14">
        <v>9.0999999999999998E-2</v>
      </c>
      <c r="E4" s="21">
        <v>9.7000000000000003E-2</v>
      </c>
      <c r="F4" s="14">
        <v>8.6999999999999994E-2</v>
      </c>
      <c r="G4" s="14">
        <v>9.0999999999999998E-2</v>
      </c>
      <c r="H4" s="28">
        <v>0.11700000000000001</v>
      </c>
      <c r="I4" s="14">
        <v>9.2999999999999999E-2</v>
      </c>
      <c r="J4" s="14">
        <v>9.1999999999999998E-2</v>
      </c>
      <c r="K4" s="14">
        <v>9.0999999999999998E-2</v>
      </c>
      <c r="L4" s="14">
        <v>9.0999999999999998E-2</v>
      </c>
      <c r="M4" s="29">
        <v>0.128</v>
      </c>
      <c r="N4" s="7">
        <v>750</v>
      </c>
      <c r="AQ4" s="55"/>
      <c r="AR4" s="14">
        <v>8.7999999999999995E-2</v>
      </c>
      <c r="AS4" s="28">
        <v>9.2999999999999999E-2</v>
      </c>
      <c r="AT4" s="21">
        <v>9.0999999999999998E-2</v>
      </c>
      <c r="AU4" s="28">
        <v>9.1999999999999998E-2</v>
      </c>
      <c r="AV4" s="28">
        <v>9.2999999999999999E-2</v>
      </c>
      <c r="AW4" s="17">
        <v>0.10100000000000001</v>
      </c>
      <c r="AX4" s="8">
        <v>0.12</v>
      </c>
      <c r="AY4" s="21">
        <v>0.09</v>
      </c>
      <c r="AZ4" s="18">
        <v>0.112</v>
      </c>
      <c r="BA4" s="14">
        <v>8.7999999999999995E-2</v>
      </c>
      <c r="BB4" s="29">
        <v>9.7000000000000003E-2</v>
      </c>
      <c r="BC4" s="26">
        <v>0.126</v>
      </c>
      <c r="BD4" s="7">
        <v>750</v>
      </c>
    </row>
    <row r="5" spans="1:56">
      <c r="A5" s="54" t="s">
        <v>1</v>
      </c>
      <c r="B5" s="6">
        <v>0.122</v>
      </c>
      <c r="C5" s="6">
        <v>0.115</v>
      </c>
      <c r="D5" s="6">
        <v>0.11899999999999999</v>
      </c>
      <c r="E5" s="6">
        <v>0.11899999999999999</v>
      </c>
      <c r="F5" s="3">
        <v>0.19400000000000001</v>
      </c>
      <c r="G5" s="6">
        <v>0.127</v>
      </c>
      <c r="H5" s="6">
        <v>0.121</v>
      </c>
      <c r="I5" s="6">
        <v>0.124</v>
      </c>
      <c r="J5" s="5">
        <v>0.152</v>
      </c>
      <c r="K5" s="6">
        <v>0.11899999999999999</v>
      </c>
      <c r="L5" s="6">
        <v>0.11799999999999999</v>
      </c>
      <c r="M5" s="6">
        <v>0.11899999999999999</v>
      </c>
      <c r="N5" s="7">
        <v>490</v>
      </c>
      <c r="AQ5" s="54" t="s">
        <v>1</v>
      </c>
      <c r="AR5" s="6">
        <v>0.113</v>
      </c>
      <c r="AS5" s="6">
        <v>0.111</v>
      </c>
      <c r="AT5" s="5">
        <v>0.123</v>
      </c>
      <c r="AU5" s="5">
        <v>0.11899999999999999</v>
      </c>
      <c r="AV5" s="24">
        <v>0.185</v>
      </c>
      <c r="AW5" s="6">
        <v>0.11600000000000001</v>
      </c>
      <c r="AX5" s="6">
        <v>0.11700000000000001</v>
      </c>
      <c r="AY5" s="5">
        <v>0.11700000000000001</v>
      </c>
      <c r="AZ5" s="3">
        <v>0.13900000000000001</v>
      </c>
      <c r="BA5" s="6">
        <v>0.112</v>
      </c>
      <c r="BB5" s="6">
        <v>0.115</v>
      </c>
      <c r="BC5" s="6">
        <v>0.113</v>
      </c>
      <c r="BD5" s="7">
        <v>490</v>
      </c>
    </row>
    <row r="6" spans="1:56">
      <c r="A6" s="55"/>
      <c r="B6" s="14">
        <v>9.1999999999999998E-2</v>
      </c>
      <c r="C6" s="14">
        <v>8.7999999999999995E-2</v>
      </c>
      <c r="D6" s="14">
        <v>8.8999999999999996E-2</v>
      </c>
      <c r="E6" s="14">
        <v>0.09</v>
      </c>
      <c r="F6" s="14">
        <v>8.7999999999999995E-2</v>
      </c>
      <c r="G6" s="21">
        <v>9.6000000000000002E-2</v>
      </c>
      <c r="H6" s="14">
        <v>9.1999999999999998E-2</v>
      </c>
      <c r="I6" s="14">
        <v>9.1999999999999998E-2</v>
      </c>
      <c r="J6" s="21">
        <v>9.6000000000000002E-2</v>
      </c>
      <c r="K6" s="14">
        <v>0.09</v>
      </c>
      <c r="L6" s="14">
        <v>8.7999999999999995E-2</v>
      </c>
      <c r="M6" s="14">
        <v>0.09</v>
      </c>
      <c r="N6" s="7">
        <v>750</v>
      </c>
      <c r="AQ6" s="55"/>
      <c r="AR6" s="14">
        <v>8.7999999999999995E-2</v>
      </c>
      <c r="AS6" s="14">
        <v>8.8999999999999996E-2</v>
      </c>
      <c r="AT6" s="29">
        <v>9.7000000000000003E-2</v>
      </c>
      <c r="AU6" s="28">
        <v>9.1999999999999998E-2</v>
      </c>
      <c r="AV6" s="21">
        <v>0.09</v>
      </c>
      <c r="AW6" s="14">
        <v>8.8999999999999996E-2</v>
      </c>
      <c r="AX6" s="21">
        <v>9.1999999999999998E-2</v>
      </c>
      <c r="AY6" s="14">
        <v>8.7999999999999995E-2</v>
      </c>
      <c r="AZ6" s="21">
        <v>0.09</v>
      </c>
      <c r="BA6" s="21">
        <v>8.8999999999999996E-2</v>
      </c>
      <c r="BB6" s="21">
        <v>8.8999999999999996E-2</v>
      </c>
      <c r="BC6" s="14">
        <v>8.8999999999999996E-2</v>
      </c>
      <c r="BD6" s="7">
        <v>750</v>
      </c>
    </row>
    <row r="7" spans="1:56">
      <c r="A7" s="54" t="s">
        <v>2</v>
      </c>
      <c r="B7" s="6">
        <v>0.114</v>
      </c>
      <c r="C7" s="6">
        <v>0.109</v>
      </c>
      <c r="D7" s="6">
        <v>0.114</v>
      </c>
      <c r="E7" s="6">
        <v>0.11700000000000001</v>
      </c>
      <c r="F7" s="6">
        <v>0.109</v>
      </c>
      <c r="G7" s="6">
        <v>0.122</v>
      </c>
      <c r="H7" s="6">
        <v>0.11799999999999999</v>
      </c>
      <c r="I7" s="6">
        <v>0.12</v>
      </c>
      <c r="J7" s="6">
        <v>0.11899999999999999</v>
      </c>
      <c r="K7" s="6">
        <v>0.11600000000000001</v>
      </c>
      <c r="L7" s="6">
        <v>0.112</v>
      </c>
      <c r="M7" s="4">
        <v>0.158</v>
      </c>
      <c r="N7" s="7">
        <v>490</v>
      </c>
      <c r="AQ7" s="54" t="s">
        <v>2</v>
      </c>
      <c r="AR7" s="6">
        <v>0.112</v>
      </c>
      <c r="AS7" s="4">
        <v>0.126</v>
      </c>
      <c r="AT7" s="5">
        <v>0.12</v>
      </c>
      <c r="AU7" s="4">
        <v>0.127</v>
      </c>
      <c r="AV7" s="5">
        <v>0.123</v>
      </c>
      <c r="AW7" s="4">
        <v>0.128</v>
      </c>
      <c r="AX7" s="5">
        <v>0.11700000000000001</v>
      </c>
      <c r="AY7" s="5">
        <v>0.122</v>
      </c>
      <c r="AZ7" s="6">
        <v>0.114</v>
      </c>
      <c r="BA7" s="6">
        <v>0.113</v>
      </c>
      <c r="BB7" s="6">
        <v>0.111</v>
      </c>
      <c r="BC7" s="6">
        <v>0.115</v>
      </c>
      <c r="BD7" s="7">
        <v>490</v>
      </c>
    </row>
    <row r="8" spans="1:56">
      <c r="A8" s="55"/>
      <c r="B8" s="14">
        <v>8.5999999999999993E-2</v>
      </c>
      <c r="C8" s="14">
        <v>8.3000000000000004E-2</v>
      </c>
      <c r="D8" s="14">
        <v>8.5999999999999993E-2</v>
      </c>
      <c r="E8" s="14">
        <v>8.8999999999999996E-2</v>
      </c>
      <c r="F8" s="14">
        <v>8.5000000000000006E-2</v>
      </c>
      <c r="G8" s="14">
        <v>9.1999999999999998E-2</v>
      </c>
      <c r="H8" s="14">
        <v>8.8999999999999996E-2</v>
      </c>
      <c r="I8" s="14">
        <v>0.09</v>
      </c>
      <c r="J8" s="14">
        <v>9.0999999999999998E-2</v>
      </c>
      <c r="K8" s="14">
        <v>8.7999999999999995E-2</v>
      </c>
      <c r="L8" s="14">
        <v>8.6999999999999994E-2</v>
      </c>
      <c r="M8" s="28">
        <v>0.115</v>
      </c>
      <c r="N8" s="7">
        <v>750</v>
      </c>
      <c r="AQ8" s="55"/>
      <c r="AR8" s="14">
        <v>8.6999999999999994E-2</v>
      </c>
      <c r="AS8" s="17">
        <v>0.10199999999999999</v>
      </c>
      <c r="AT8" s="28">
        <v>9.2999999999999999E-2</v>
      </c>
      <c r="AU8" s="29">
        <v>9.7000000000000003E-2</v>
      </c>
      <c r="AV8" s="29">
        <v>9.7000000000000003E-2</v>
      </c>
      <c r="AW8" s="13">
        <v>9.9000000000000005E-2</v>
      </c>
      <c r="AX8" s="21">
        <v>9.0999999999999998E-2</v>
      </c>
      <c r="AY8" s="29">
        <v>9.7000000000000003E-2</v>
      </c>
      <c r="AZ8" s="14">
        <v>8.8999999999999996E-2</v>
      </c>
      <c r="BA8" s="21">
        <v>0.09</v>
      </c>
      <c r="BB8" s="14">
        <v>8.7999999999999995E-2</v>
      </c>
      <c r="BC8" s="14">
        <v>8.8999999999999996E-2</v>
      </c>
      <c r="BD8" s="7">
        <v>750</v>
      </c>
    </row>
    <row r="9" spans="1:56">
      <c r="A9" s="54" t="s">
        <v>3</v>
      </c>
      <c r="B9" s="6">
        <v>0.112</v>
      </c>
      <c r="C9" s="6">
        <v>0.109</v>
      </c>
      <c r="D9" s="6">
        <v>0.114</v>
      </c>
      <c r="E9" s="6">
        <v>0.125</v>
      </c>
      <c r="F9" s="6">
        <v>0.108</v>
      </c>
      <c r="G9" s="25">
        <v>0.45100000000000001</v>
      </c>
      <c r="H9" s="6">
        <v>0.11700000000000001</v>
      </c>
      <c r="I9" s="6">
        <v>0.11799999999999999</v>
      </c>
      <c r="J9" s="6">
        <v>0.11899999999999999</v>
      </c>
      <c r="K9" s="6">
        <v>0.11600000000000001</v>
      </c>
      <c r="L9" s="6">
        <v>0.113</v>
      </c>
      <c r="M9" s="6">
        <v>0.11799999999999999</v>
      </c>
      <c r="N9" s="7">
        <v>490</v>
      </c>
      <c r="AQ9" s="54" t="s">
        <v>3</v>
      </c>
      <c r="AR9" s="6">
        <v>0.11600000000000001</v>
      </c>
      <c r="AS9" s="6">
        <v>0.11</v>
      </c>
      <c r="AT9" s="6">
        <v>0.11600000000000001</v>
      </c>
      <c r="AU9" s="5">
        <v>0.121</v>
      </c>
      <c r="AV9" s="6">
        <v>0.114</v>
      </c>
      <c r="AW9" s="4">
        <v>0.13100000000000001</v>
      </c>
      <c r="AX9" s="6">
        <v>0.114</v>
      </c>
      <c r="AY9" s="6">
        <v>0.112</v>
      </c>
      <c r="AZ9" s="6">
        <v>0.113</v>
      </c>
      <c r="BA9" s="6">
        <v>0.112</v>
      </c>
      <c r="BB9" s="6">
        <v>0.114</v>
      </c>
      <c r="BC9" s="6">
        <v>0.112</v>
      </c>
      <c r="BD9" s="7">
        <v>490</v>
      </c>
    </row>
    <row r="10" spans="1:56">
      <c r="A10" s="55"/>
      <c r="B10" s="14">
        <v>8.5999999999999993E-2</v>
      </c>
      <c r="C10" s="14">
        <v>8.4000000000000005E-2</v>
      </c>
      <c r="D10" s="14">
        <v>8.6999999999999994E-2</v>
      </c>
      <c r="E10" s="21">
        <v>9.8000000000000004E-2</v>
      </c>
      <c r="F10" s="14">
        <v>8.4000000000000005E-2</v>
      </c>
      <c r="G10" s="14">
        <v>9.4E-2</v>
      </c>
      <c r="H10" s="14">
        <v>8.7999999999999995E-2</v>
      </c>
      <c r="I10" s="14">
        <v>8.7999999999999995E-2</v>
      </c>
      <c r="J10" s="14">
        <v>0.09</v>
      </c>
      <c r="K10" s="14">
        <v>8.8999999999999996E-2</v>
      </c>
      <c r="L10" s="14">
        <v>8.6999999999999994E-2</v>
      </c>
      <c r="M10" s="14">
        <v>8.8999999999999996E-2</v>
      </c>
      <c r="N10" s="7">
        <v>750</v>
      </c>
      <c r="AQ10" s="55"/>
      <c r="AR10" s="21">
        <v>9.1999999999999998E-2</v>
      </c>
      <c r="AS10" s="14">
        <v>8.5999999999999993E-2</v>
      </c>
      <c r="AT10" s="21">
        <v>9.1999999999999998E-2</v>
      </c>
      <c r="AU10" s="28">
        <v>9.4E-2</v>
      </c>
      <c r="AV10" s="21">
        <v>9.0999999999999998E-2</v>
      </c>
      <c r="AW10" s="21">
        <v>9.0999999999999998E-2</v>
      </c>
      <c r="AX10" s="14">
        <v>8.7999999999999995E-2</v>
      </c>
      <c r="AY10" s="14">
        <v>8.6999999999999994E-2</v>
      </c>
      <c r="AZ10" s="14">
        <v>8.8999999999999996E-2</v>
      </c>
      <c r="BA10" s="14">
        <v>8.6999999999999994E-2</v>
      </c>
      <c r="BB10" s="21">
        <v>0.09</v>
      </c>
      <c r="BC10" s="14">
        <v>8.7999999999999995E-2</v>
      </c>
      <c r="BD10" s="7">
        <v>750</v>
      </c>
    </row>
    <row r="11" spans="1:56">
      <c r="A11" s="54" t="s">
        <v>4</v>
      </c>
      <c r="B11" s="5">
        <v>0.13300000000000001</v>
      </c>
      <c r="C11" s="6">
        <v>0.111</v>
      </c>
      <c r="D11" s="6">
        <v>0.113</v>
      </c>
      <c r="E11" s="6">
        <v>0.125</v>
      </c>
      <c r="F11" s="5">
        <v>0.157</v>
      </c>
      <c r="G11" s="6">
        <v>0.12</v>
      </c>
      <c r="H11" s="6">
        <v>0.123</v>
      </c>
      <c r="I11" s="6">
        <v>0.11700000000000001</v>
      </c>
      <c r="J11" s="6">
        <v>0.13200000000000001</v>
      </c>
      <c r="K11" s="6">
        <v>0.11600000000000001</v>
      </c>
      <c r="L11" s="6">
        <v>0.114</v>
      </c>
      <c r="M11" s="5">
        <v>0.14599999999999999</v>
      </c>
      <c r="N11" s="7">
        <v>490</v>
      </c>
      <c r="AQ11" s="54" t="s">
        <v>4</v>
      </c>
      <c r="AR11" s="3">
        <v>0.13700000000000001</v>
      </c>
      <c r="AS11" s="6">
        <v>0.115</v>
      </c>
      <c r="AT11" s="6">
        <v>0.115</v>
      </c>
      <c r="AU11" s="5">
        <v>0.12</v>
      </c>
      <c r="AV11" s="15">
        <v>0.16500000000000001</v>
      </c>
      <c r="AW11" s="4">
        <v>0.13100000000000001</v>
      </c>
      <c r="AX11" s="4">
        <v>0.13100000000000001</v>
      </c>
      <c r="AY11" s="4">
        <v>0.129</v>
      </c>
      <c r="AZ11" s="5">
        <v>0.11799999999999999</v>
      </c>
      <c r="BA11" s="4">
        <v>0.13200000000000001</v>
      </c>
      <c r="BB11" s="6">
        <v>0.115</v>
      </c>
      <c r="BC11" s="20">
        <v>0.14699999999999999</v>
      </c>
      <c r="BD11" s="7">
        <v>490</v>
      </c>
    </row>
    <row r="12" spans="1:56">
      <c r="A12" s="55"/>
      <c r="B12" s="28">
        <v>0.11</v>
      </c>
      <c r="C12" s="14">
        <v>8.6999999999999994E-2</v>
      </c>
      <c r="D12" s="14">
        <v>8.8999999999999996E-2</v>
      </c>
      <c r="E12" s="21">
        <v>9.6000000000000002E-2</v>
      </c>
      <c r="F12" s="14">
        <v>8.5000000000000006E-2</v>
      </c>
      <c r="G12" s="14">
        <v>0.09</v>
      </c>
      <c r="H12" s="14">
        <v>8.8999999999999996E-2</v>
      </c>
      <c r="I12" s="14">
        <v>8.7999999999999995E-2</v>
      </c>
      <c r="J12" s="21">
        <v>0.10100000000000001</v>
      </c>
      <c r="K12" s="14">
        <v>8.8999999999999996E-2</v>
      </c>
      <c r="L12" s="14">
        <v>8.8999999999999996E-2</v>
      </c>
      <c r="M12" s="14">
        <v>0.09</v>
      </c>
      <c r="N12" s="7">
        <v>750</v>
      </c>
      <c r="AQ12" s="55"/>
      <c r="AR12" s="18">
        <v>0.11</v>
      </c>
      <c r="AS12" s="21">
        <v>0.09</v>
      </c>
      <c r="AT12" s="21">
        <v>9.1999999999999998E-2</v>
      </c>
      <c r="AU12" s="28">
        <v>9.2999999999999999E-2</v>
      </c>
      <c r="AV12" s="13">
        <v>9.9000000000000005E-2</v>
      </c>
      <c r="AW12" s="13">
        <v>9.9000000000000005E-2</v>
      </c>
      <c r="AX12" s="29">
        <v>9.8000000000000004E-2</v>
      </c>
      <c r="AY12" s="17">
        <v>0.10199999999999999</v>
      </c>
      <c r="AZ12" s="28">
        <v>9.1999999999999998E-2</v>
      </c>
      <c r="BA12" s="11">
        <v>0.105</v>
      </c>
      <c r="BB12" s="28">
        <v>9.2999999999999999E-2</v>
      </c>
      <c r="BC12" s="28">
        <v>9.5000000000000001E-2</v>
      </c>
      <c r="BD12" s="7">
        <v>750</v>
      </c>
    </row>
    <row r="13" spans="1:56">
      <c r="A13" s="54" t="s">
        <v>5</v>
      </c>
      <c r="B13" s="6">
        <v>0.11799999999999999</v>
      </c>
      <c r="C13" s="6">
        <v>0.11</v>
      </c>
      <c r="D13" s="5">
        <v>0.14799999999999999</v>
      </c>
      <c r="E13" s="6">
        <v>0.122</v>
      </c>
      <c r="F13" s="6">
        <v>0.112</v>
      </c>
      <c r="G13" s="6">
        <v>0.122</v>
      </c>
      <c r="H13" s="6">
        <v>0.111</v>
      </c>
      <c r="I13" s="6">
        <v>0.126</v>
      </c>
      <c r="J13" s="6">
        <v>0.129</v>
      </c>
      <c r="K13" s="6">
        <v>0.125</v>
      </c>
      <c r="L13" s="6">
        <v>0.114</v>
      </c>
      <c r="M13" s="5">
        <v>0.14399999999999999</v>
      </c>
      <c r="N13" s="7">
        <v>490</v>
      </c>
      <c r="AQ13" s="54" t="s">
        <v>5</v>
      </c>
      <c r="AR13" s="6">
        <v>0.113</v>
      </c>
      <c r="AS13" s="6">
        <v>0.11</v>
      </c>
      <c r="AT13" s="6">
        <v>0.11600000000000001</v>
      </c>
      <c r="AU13" s="4">
        <v>0.127</v>
      </c>
      <c r="AV13" s="6">
        <v>0.114</v>
      </c>
      <c r="AW13" s="6">
        <v>0.114</v>
      </c>
      <c r="AX13" s="6">
        <v>0.115</v>
      </c>
      <c r="AY13" s="5">
        <v>0.11899999999999999</v>
      </c>
      <c r="AZ13" s="4">
        <v>0.13100000000000001</v>
      </c>
      <c r="BA13" s="6">
        <v>0.112</v>
      </c>
      <c r="BB13" s="6">
        <v>0.113</v>
      </c>
      <c r="BC13" s="6">
        <v>0.113</v>
      </c>
      <c r="BD13" s="7">
        <v>490</v>
      </c>
    </row>
    <row r="14" spans="1:56">
      <c r="A14" s="55"/>
      <c r="B14" s="14">
        <v>9.0999999999999998E-2</v>
      </c>
      <c r="C14" s="14">
        <v>8.6999999999999994E-2</v>
      </c>
      <c r="D14" s="28">
        <v>0.107</v>
      </c>
      <c r="E14" s="21">
        <v>9.6000000000000002E-2</v>
      </c>
      <c r="F14" s="14">
        <v>8.5000000000000006E-2</v>
      </c>
      <c r="G14" s="14">
        <v>9.1999999999999998E-2</v>
      </c>
      <c r="H14" s="14">
        <v>8.4000000000000005E-2</v>
      </c>
      <c r="I14" s="21">
        <v>9.6000000000000002E-2</v>
      </c>
      <c r="J14" s="14">
        <v>8.8999999999999996E-2</v>
      </c>
      <c r="K14" s="14">
        <v>8.8999999999999996E-2</v>
      </c>
      <c r="L14" s="14">
        <v>8.5999999999999993E-2</v>
      </c>
      <c r="M14" s="28">
        <v>0.11</v>
      </c>
      <c r="N14" s="7">
        <v>750</v>
      </c>
      <c r="AQ14" s="55"/>
      <c r="AR14" s="14">
        <v>8.6999999999999994E-2</v>
      </c>
      <c r="AS14" s="14">
        <v>8.7999999999999995E-2</v>
      </c>
      <c r="AT14" s="21">
        <v>9.1999999999999998E-2</v>
      </c>
      <c r="AU14" s="11">
        <v>0.104</v>
      </c>
      <c r="AV14" s="14">
        <v>8.8999999999999996E-2</v>
      </c>
      <c r="AW14" s="14">
        <v>8.8999999999999996E-2</v>
      </c>
      <c r="AX14" s="14">
        <v>8.8999999999999996E-2</v>
      </c>
      <c r="AY14" s="28">
        <v>9.2999999999999999E-2</v>
      </c>
      <c r="AZ14" s="28">
        <v>9.1999999999999998E-2</v>
      </c>
      <c r="BA14" s="21">
        <v>9.0999999999999998E-2</v>
      </c>
      <c r="BB14" s="21">
        <v>9.1999999999999998E-2</v>
      </c>
      <c r="BC14" s="21">
        <v>0.09</v>
      </c>
      <c r="BD14" s="7">
        <v>750</v>
      </c>
    </row>
    <row r="15" spans="1:56">
      <c r="A15" s="54" t="s">
        <v>6</v>
      </c>
      <c r="B15" s="6">
        <v>0.115</v>
      </c>
      <c r="C15" s="6">
        <v>0.108</v>
      </c>
      <c r="D15" s="6">
        <v>0.111</v>
      </c>
      <c r="E15" s="6">
        <v>0.13100000000000001</v>
      </c>
      <c r="F15" s="6">
        <v>0.109</v>
      </c>
      <c r="G15" s="6">
        <v>0.11700000000000001</v>
      </c>
      <c r="H15" s="6">
        <v>0.124</v>
      </c>
      <c r="I15" s="6">
        <v>0.121</v>
      </c>
      <c r="J15" s="6">
        <v>0.13200000000000001</v>
      </c>
      <c r="K15" s="4">
        <v>0.16200000000000001</v>
      </c>
      <c r="L15" s="6">
        <v>0.114</v>
      </c>
      <c r="M15" s="6">
        <v>0.128</v>
      </c>
      <c r="N15" s="7">
        <v>490</v>
      </c>
      <c r="AQ15" s="54" t="s">
        <v>6</v>
      </c>
      <c r="AR15" s="6">
        <v>0.113</v>
      </c>
      <c r="AS15" s="6">
        <v>0.111</v>
      </c>
      <c r="AT15" s="5">
        <v>0.121</v>
      </c>
      <c r="AU15" s="6">
        <v>0.114</v>
      </c>
      <c r="AV15" s="6">
        <v>0.111</v>
      </c>
      <c r="AW15" s="6">
        <v>0.114</v>
      </c>
      <c r="AX15" s="6">
        <v>0.11700000000000001</v>
      </c>
      <c r="AY15" s="6">
        <v>0.11600000000000001</v>
      </c>
      <c r="AZ15" s="6">
        <v>0.11600000000000001</v>
      </c>
      <c r="BA15" s="6">
        <v>0.11700000000000001</v>
      </c>
      <c r="BB15" s="6">
        <v>0.114</v>
      </c>
      <c r="BC15" s="6">
        <v>0.114</v>
      </c>
      <c r="BD15" s="7">
        <v>490</v>
      </c>
    </row>
    <row r="16" spans="1:56">
      <c r="A16" s="55"/>
      <c r="B16" s="14">
        <v>8.6999999999999994E-2</v>
      </c>
      <c r="C16" s="14">
        <v>8.5000000000000006E-2</v>
      </c>
      <c r="D16" s="14">
        <v>8.7999999999999995E-2</v>
      </c>
      <c r="E16" s="21">
        <v>0.10199999999999999</v>
      </c>
      <c r="F16" s="14">
        <v>8.5000000000000006E-2</v>
      </c>
      <c r="G16" s="14">
        <v>8.8999999999999996E-2</v>
      </c>
      <c r="H16" s="14">
        <v>9.4E-2</v>
      </c>
      <c r="I16" s="14">
        <v>9.1999999999999998E-2</v>
      </c>
      <c r="J16" s="21">
        <v>0.10299999999999999</v>
      </c>
      <c r="K16" s="13">
        <v>0.13400000000000001</v>
      </c>
      <c r="L16" s="14">
        <v>8.7999999999999995E-2</v>
      </c>
      <c r="M16" s="21">
        <v>9.8000000000000004E-2</v>
      </c>
      <c r="N16" s="7">
        <v>750</v>
      </c>
      <c r="AQ16" s="55"/>
      <c r="AR16" s="14">
        <v>8.7999999999999995E-2</v>
      </c>
      <c r="AS16" s="14">
        <v>8.8999999999999996E-2</v>
      </c>
      <c r="AT16" s="13">
        <v>9.9000000000000005E-2</v>
      </c>
      <c r="AU16" s="14">
        <v>8.7999999999999995E-2</v>
      </c>
      <c r="AV16" s="14">
        <v>8.6999999999999994E-2</v>
      </c>
      <c r="AW16" s="14">
        <v>8.7999999999999995E-2</v>
      </c>
      <c r="AX16" s="21">
        <v>9.1999999999999998E-2</v>
      </c>
      <c r="AY16" s="21">
        <v>9.0999999999999998E-2</v>
      </c>
      <c r="AZ16" s="21">
        <v>0.09</v>
      </c>
      <c r="BA16" s="28">
        <v>9.2999999999999999E-2</v>
      </c>
      <c r="BB16" s="21">
        <v>9.0999999999999998E-2</v>
      </c>
      <c r="BC16" s="21">
        <v>9.0999999999999998E-2</v>
      </c>
      <c r="BD16" s="7">
        <v>750</v>
      </c>
    </row>
    <row r="17" spans="1:56">
      <c r="A17" s="54" t="s">
        <v>7</v>
      </c>
      <c r="B17" s="16">
        <v>0.26600000000000001</v>
      </c>
      <c r="C17" s="6">
        <v>0.129</v>
      </c>
      <c r="D17" s="6">
        <v>0.115</v>
      </c>
      <c r="E17" s="6">
        <v>0.12</v>
      </c>
      <c r="F17" s="6">
        <v>0.112</v>
      </c>
      <c r="G17" s="6">
        <v>0.12</v>
      </c>
      <c r="H17" s="6">
        <v>0.121</v>
      </c>
      <c r="I17" s="6">
        <v>0.12</v>
      </c>
      <c r="J17" s="22">
        <v>0.24099999999999999</v>
      </c>
      <c r="K17" s="6">
        <v>0.11600000000000001</v>
      </c>
      <c r="L17" s="6">
        <v>0.12</v>
      </c>
      <c r="M17" s="6">
        <v>0.122</v>
      </c>
      <c r="N17" s="7">
        <v>490</v>
      </c>
      <c r="AQ17" s="54" t="s">
        <v>7</v>
      </c>
      <c r="AR17" s="6">
        <v>0.113</v>
      </c>
      <c r="AS17" s="6">
        <v>0.111</v>
      </c>
      <c r="AT17" s="6">
        <v>0.112</v>
      </c>
      <c r="AU17" s="6">
        <v>0.113</v>
      </c>
      <c r="AV17" s="6">
        <v>0.11</v>
      </c>
      <c r="AW17" s="6">
        <v>0.114</v>
      </c>
      <c r="AX17" s="5">
        <v>0.11799999999999999</v>
      </c>
      <c r="AY17" s="6">
        <v>0.113</v>
      </c>
      <c r="AZ17" s="25">
        <v>0.216</v>
      </c>
      <c r="BA17" s="6">
        <v>0.112</v>
      </c>
      <c r="BB17" s="5">
        <v>0.11799999999999999</v>
      </c>
      <c r="BC17" s="6">
        <v>0.113</v>
      </c>
      <c r="BD17" s="7">
        <v>490</v>
      </c>
    </row>
    <row r="18" spans="1:56">
      <c r="A18" s="55"/>
      <c r="B18" s="26">
        <v>0.24199999999999999</v>
      </c>
      <c r="C18" s="21">
        <v>0.10100000000000001</v>
      </c>
      <c r="D18" s="14">
        <v>8.7999999999999995E-2</v>
      </c>
      <c r="E18" s="14">
        <v>9.0999999999999998E-2</v>
      </c>
      <c r="F18" s="14">
        <v>8.5999999999999993E-2</v>
      </c>
      <c r="G18" s="14">
        <v>0.09</v>
      </c>
      <c r="H18" s="14">
        <v>8.7999999999999995E-2</v>
      </c>
      <c r="I18" s="14">
        <v>9.0999999999999998E-2</v>
      </c>
      <c r="J18" s="14">
        <v>9.2999999999999999E-2</v>
      </c>
      <c r="K18" s="14">
        <v>8.7999999999999995E-2</v>
      </c>
      <c r="L18" s="14">
        <v>8.5999999999999993E-2</v>
      </c>
      <c r="M18" s="14">
        <v>9.1999999999999998E-2</v>
      </c>
      <c r="N18" s="7">
        <v>750</v>
      </c>
      <c r="AQ18" s="55"/>
      <c r="AR18" s="14">
        <v>8.7999999999999995E-2</v>
      </c>
      <c r="AS18" s="14">
        <v>8.7999999999999995E-2</v>
      </c>
      <c r="AT18" s="14">
        <v>8.6999999999999994E-2</v>
      </c>
      <c r="AU18" s="14">
        <v>8.7999999999999995E-2</v>
      </c>
      <c r="AV18" s="14">
        <v>8.5999999999999993E-2</v>
      </c>
      <c r="AW18" s="14">
        <v>8.7999999999999995E-2</v>
      </c>
      <c r="AX18" s="14">
        <v>8.7999999999999995E-2</v>
      </c>
      <c r="AY18" s="14">
        <v>8.7999999999999995E-2</v>
      </c>
      <c r="AZ18" s="14">
        <v>8.7999999999999995E-2</v>
      </c>
      <c r="BA18" s="14">
        <v>8.6999999999999994E-2</v>
      </c>
      <c r="BB18" s="14">
        <v>8.6999999999999994E-2</v>
      </c>
      <c r="BC18" s="14">
        <v>8.6999999999999994E-2</v>
      </c>
      <c r="BD18" s="7">
        <v>750</v>
      </c>
    </row>
    <row r="20" spans="1:56">
      <c r="A20" t="s">
        <v>11</v>
      </c>
      <c r="B20">
        <v>2.1</v>
      </c>
      <c r="O20" t="s">
        <v>11</v>
      </c>
      <c r="P20" s="31">
        <v>2.2000000000000002</v>
      </c>
      <c r="AC20" t="s">
        <v>11</v>
      </c>
      <c r="AD20">
        <v>2.2999999999999998</v>
      </c>
    </row>
    <row r="21" spans="1:56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O21" s="1"/>
      <c r="P21" s="2">
        <v>1</v>
      </c>
      <c r="Q21" s="2">
        <v>2</v>
      </c>
      <c r="R21" s="2">
        <v>3</v>
      </c>
      <c r="S21" s="2">
        <v>4</v>
      </c>
      <c r="T21" s="2">
        <v>5</v>
      </c>
      <c r="U21" s="2">
        <v>6</v>
      </c>
      <c r="V21" s="2">
        <v>7</v>
      </c>
      <c r="W21" s="2">
        <v>8</v>
      </c>
      <c r="X21" s="2">
        <v>9</v>
      </c>
      <c r="Y21" s="2">
        <v>10</v>
      </c>
      <c r="Z21" s="2">
        <v>11</v>
      </c>
      <c r="AA21" s="2">
        <v>12</v>
      </c>
      <c r="AC21" s="1"/>
      <c r="AD21" s="2">
        <v>1</v>
      </c>
      <c r="AE21" s="2">
        <v>2</v>
      </c>
      <c r="AF21" s="2">
        <v>3</v>
      </c>
      <c r="AG21" s="2">
        <v>4</v>
      </c>
      <c r="AH21" s="2">
        <v>5</v>
      </c>
      <c r="AI21" s="2">
        <v>6</v>
      </c>
      <c r="AJ21" s="2">
        <v>7</v>
      </c>
      <c r="AK21" s="2">
        <v>8</v>
      </c>
      <c r="AL21" s="2">
        <v>9</v>
      </c>
      <c r="AM21" s="2">
        <v>10</v>
      </c>
      <c r="AN21" s="2">
        <v>11</v>
      </c>
      <c r="AO21" s="2">
        <v>12</v>
      </c>
    </row>
    <row r="22" spans="1:56">
      <c r="A22" s="54" t="s">
        <v>0</v>
      </c>
      <c r="B22" s="5">
        <v>0.16900000000000001</v>
      </c>
      <c r="C22" s="5">
        <v>0.159</v>
      </c>
      <c r="D22" s="5">
        <v>0.186</v>
      </c>
      <c r="E22" s="5">
        <v>0.17799999999999999</v>
      </c>
      <c r="F22" s="5">
        <v>0.155</v>
      </c>
      <c r="G22" s="4">
        <v>0.20799999999999999</v>
      </c>
      <c r="H22" s="6">
        <v>0.14299999999999999</v>
      </c>
      <c r="I22" s="5">
        <v>0.16500000000000001</v>
      </c>
      <c r="J22" s="5">
        <v>0.17199999999999999</v>
      </c>
      <c r="K22" s="15">
        <v>0.5</v>
      </c>
      <c r="L22" s="5">
        <v>0.16900000000000001</v>
      </c>
      <c r="M22" s="20">
        <v>0.36799999999999999</v>
      </c>
      <c r="N22" s="7">
        <v>490</v>
      </c>
      <c r="O22" s="54" t="s">
        <v>0</v>
      </c>
      <c r="P22" s="5">
        <v>0.16700000000000001</v>
      </c>
      <c r="Q22" s="5">
        <v>0.155</v>
      </c>
      <c r="R22" s="5">
        <v>0.16200000000000001</v>
      </c>
      <c r="S22" s="5">
        <v>0.18</v>
      </c>
      <c r="T22" s="5">
        <v>0.16300000000000001</v>
      </c>
      <c r="U22" s="4">
        <v>0.20699999999999999</v>
      </c>
      <c r="V22" s="5">
        <v>0.17399999999999999</v>
      </c>
      <c r="W22" s="5">
        <v>0.17</v>
      </c>
      <c r="X22" s="5">
        <v>0.17899999999999999</v>
      </c>
      <c r="Y22" s="16">
        <v>0.45700000000000002</v>
      </c>
      <c r="Z22" s="5">
        <v>0.17199999999999999</v>
      </c>
      <c r="AA22" s="20">
        <v>0.35099999999999998</v>
      </c>
      <c r="AB22" s="7">
        <v>490</v>
      </c>
      <c r="AC22" s="54" t="s">
        <v>0</v>
      </c>
      <c r="AD22" s="5">
        <v>0.16700000000000001</v>
      </c>
      <c r="AE22" s="5">
        <v>0.17</v>
      </c>
      <c r="AF22" s="5">
        <v>0.16200000000000001</v>
      </c>
      <c r="AG22" s="5">
        <v>0.17799999999999999</v>
      </c>
      <c r="AH22" s="5">
        <v>0.16600000000000001</v>
      </c>
      <c r="AI22" s="4">
        <v>0.21299999999999999</v>
      </c>
      <c r="AJ22" s="5">
        <v>0.16500000000000001</v>
      </c>
      <c r="AK22" s="5">
        <v>0.161</v>
      </c>
      <c r="AL22" s="5">
        <v>0.17899999999999999</v>
      </c>
      <c r="AM22" s="22">
        <v>0.42399999999999999</v>
      </c>
      <c r="AN22" s="5">
        <v>0.17399999999999999</v>
      </c>
      <c r="AO22" s="20">
        <v>0.35899999999999999</v>
      </c>
      <c r="AP22" s="7">
        <v>490</v>
      </c>
    </row>
    <row r="23" spans="1:56">
      <c r="A23" s="55"/>
      <c r="B23" s="28">
        <v>0.122</v>
      </c>
      <c r="C23" s="28">
        <v>0.113</v>
      </c>
      <c r="D23" s="28">
        <v>0.13400000000000001</v>
      </c>
      <c r="E23" s="28">
        <v>0.128</v>
      </c>
      <c r="F23" s="28">
        <v>0.11600000000000001</v>
      </c>
      <c r="G23" s="29">
        <v>0.14099999999999999</v>
      </c>
      <c r="H23" s="21">
        <v>0.1</v>
      </c>
      <c r="I23" s="21">
        <v>0.11</v>
      </c>
      <c r="J23" s="28">
        <v>0.126</v>
      </c>
      <c r="K23" s="9">
        <v>0.30399999999999999</v>
      </c>
      <c r="L23" s="28">
        <v>0.121</v>
      </c>
      <c r="M23" s="11">
        <v>0.216</v>
      </c>
      <c r="N23" s="7">
        <v>750</v>
      </c>
      <c r="O23" s="55"/>
      <c r="P23" s="29">
        <v>0.12</v>
      </c>
      <c r="Q23" s="28">
        <v>0.111</v>
      </c>
      <c r="R23" s="28">
        <v>0.11899999999999999</v>
      </c>
      <c r="S23" s="29">
        <v>0.13</v>
      </c>
      <c r="T23" s="29">
        <v>0.122</v>
      </c>
      <c r="U23" s="13">
        <v>0.14099999999999999</v>
      </c>
      <c r="V23" s="29">
        <v>0.123</v>
      </c>
      <c r="W23" s="28">
        <v>0.115</v>
      </c>
      <c r="X23" s="29">
        <v>0.13100000000000001</v>
      </c>
      <c r="Y23" s="8">
        <v>0.27800000000000002</v>
      </c>
      <c r="Z23" s="29">
        <v>0.123</v>
      </c>
      <c r="AA23" s="12">
        <v>0.20799999999999999</v>
      </c>
      <c r="AB23" s="7">
        <v>750</v>
      </c>
      <c r="AC23" s="55"/>
      <c r="AD23" s="29">
        <v>0.11899999999999999</v>
      </c>
      <c r="AE23" s="28">
        <v>0.11899999999999999</v>
      </c>
      <c r="AF23" s="29">
        <v>0.12</v>
      </c>
      <c r="AG23" s="29">
        <v>0.129</v>
      </c>
      <c r="AH23" s="29">
        <v>0.122</v>
      </c>
      <c r="AI23" s="13">
        <v>0.14499999999999999</v>
      </c>
      <c r="AJ23" s="28">
        <v>0.115</v>
      </c>
      <c r="AK23" s="28">
        <v>0.111</v>
      </c>
      <c r="AL23" s="29">
        <v>0.13100000000000001</v>
      </c>
      <c r="AM23" s="10">
        <v>0.255</v>
      </c>
      <c r="AN23" s="29">
        <v>0.125</v>
      </c>
      <c r="AO23" s="12">
        <v>0.20899999999999999</v>
      </c>
      <c r="AP23" s="7">
        <v>750</v>
      </c>
    </row>
    <row r="24" spans="1:56">
      <c r="A24" s="54" t="s">
        <v>1</v>
      </c>
      <c r="B24" s="5">
        <v>0.16800000000000001</v>
      </c>
      <c r="C24" s="6">
        <v>0.14799999999999999</v>
      </c>
      <c r="D24" s="5">
        <v>0.184</v>
      </c>
      <c r="E24" s="3">
        <v>0.27400000000000002</v>
      </c>
      <c r="F24" s="22">
        <v>0.39400000000000002</v>
      </c>
      <c r="G24" s="20">
        <v>0.377</v>
      </c>
      <c r="H24" s="20">
        <v>0.36899999999999999</v>
      </c>
      <c r="I24" s="5">
        <v>0.17799999999999999</v>
      </c>
      <c r="J24" s="3">
        <v>0.28799999999999998</v>
      </c>
      <c r="K24" s="16">
        <v>0.443</v>
      </c>
      <c r="L24" s="5">
        <v>0.20100000000000001</v>
      </c>
      <c r="M24" s="6">
        <v>0.14199999999999999</v>
      </c>
      <c r="N24" s="7">
        <v>490</v>
      </c>
      <c r="O24" s="54" t="s">
        <v>1</v>
      </c>
      <c r="P24" s="5">
        <v>0.16700000000000001</v>
      </c>
      <c r="Q24" s="6">
        <v>0.14000000000000001</v>
      </c>
      <c r="R24" s="5">
        <v>0.189</v>
      </c>
      <c r="S24" s="3">
        <v>0.26600000000000001</v>
      </c>
      <c r="T24" s="22">
        <v>0.41</v>
      </c>
      <c r="U24" s="20">
        <v>0.315</v>
      </c>
      <c r="V24" s="20">
        <v>0.32800000000000001</v>
      </c>
      <c r="W24" s="5">
        <v>0.183</v>
      </c>
      <c r="X24" s="20">
        <v>0.315</v>
      </c>
      <c r="Y24" s="20">
        <v>0.32800000000000001</v>
      </c>
      <c r="Z24" s="4">
        <v>0.20799999999999999</v>
      </c>
      <c r="AA24" s="5">
        <v>0.14399999999999999</v>
      </c>
      <c r="AB24" s="7">
        <v>490</v>
      </c>
      <c r="AC24" s="54" t="s">
        <v>1</v>
      </c>
      <c r="AD24" s="5">
        <v>0.17</v>
      </c>
      <c r="AE24" s="6">
        <v>0.14799999999999999</v>
      </c>
      <c r="AF24" s="5">
        <v>0.17799999999999999</v>
      </c>
      <c r="AG24" s="3">
        <v>0.27300000000000002</v>
      </c>
      <c r="AH24" s="20">
        <v>0.33700000000000002</v>
      </c>
      <c r="AI24" s="20">
        <v>0.33800000000000002</v>
      </c>
      <c r="AJ24" s="20">
        <v>0.36599999999999999</v>
      </c>
      <c r="AK24" s="5">
        <v>0.17499999999999999</v>
      </c>
      <c r="AL24" s="4">
        <v>0.251</v>
      </c>
      <c r="AM24" s="20">
        <v>0.375</v>
      </c>
      <c r="AN24" s="5">
        <v>0.19</v>
      </c>
      <c r="AO24" s="6">
        <v>0.14499999999999999</v>
      </c>
      <c r="AP24" s="7">
        <v>490</v>
      </c>
    </row>
    <row r="25" spans="1:56">
      <c r="A25" s="55"/>
      <c r="B25" s="28">
        <v>0.121</v>
      </c>
      <c r="C25" s="21">
        <v>0.107</v>
      </c>
      <c r="D25" s="28">
        <v>0.11799999999999999</v>
      </c>
      <c r="E25" s="17">
        <v>0.192</v>
      </c>
      <c r="F25" s="28">
        <v>0.13</v>
      </c>
      <c r="G25" s="11">
        <v>0.22500000000000001</v>
      </c>
      <c r="H25" s="18">
        <v>0.25600000000000001</v>
      </c>
      <c r="I25" s="28">
        <v>0.125</v>
      </c>
      <c r="J25" s="28">
        <v>0.113</v>
      </c>
      <c r="K25" s="10">
        <v>0.28999999999999998</v>
      </c>
      <c r="L25" s="29">
        <v>0.13800000000000001</v>
      </c>
      <c r="M25" s="21">
        <v>9.8000000000000004E-2</v>
      </c>
      <c r="N25" s="7">
        <v>750</v>
      </c>
      <c r="O25" s="55"/>
      <c r="P25" s="29">
        <v>0.12</v>
      </c>
      <c r="Q25" s="28">
        <v>0.10100000000000001</v>
      </c>
      <c r="R25" s="29">
        <v>0.122</v>
      </c>
      <c r="S25" s="11">
        <v>0.19</v>
      </c>
      <c r="T25" s="29">
        <v>0.13200000000000001</v>
      </c>
      <c r="U25" s="11">
        <v>0.192</v>
      </c>
      <c r="V25" s="18">
        <v>0.23200000000000001</v>
      </c>
      <c r="W25" s="29">
        <v>0.13</v>
      </c>
      <c r="X25" s="29">
        <v>0.129</v>
      </c>
      <c r="Y25" s="12">
        <v>0.21299999999999999</v>
      </c>
      <c r="Z25" s="13">
        <v>0.14299999999999999</v>
      </c>
      <c r="AA25" s="21">
        <v>9.9000000000000005E-2</v>
      </c>
      <c r="AB25" s="7">
        <v>750</v>
      </c>
      <c r="AC25" s="55"/>
      <c r="AD25" s="29">
        <v>0.122</v>
      </c>
      <c r="AE25" s="28">
        <v>0.106</v>
      </c>
      <c r="AF25" s="29">
        <v>0.121</v>
      </c>
      <c r="AG25" s="11">
        <v>0.19400000000000001</v>
      </c>
      <c r="AH25" s="29">
        <v>0.13200000000000001</v>
      </c>
      <c r="AI25" s="12">
        <v>0.20699999999999999</v>
      </c>
      <c r="AJ25" s="9">
        <v>0.25700000000000001</v>
      </c>
      <c r="AK25" s="29">
        <v>0.124</v>
      </c>
      <c r="AL25" s="28">
        <v>0.107</v>
      </c>
      <c r="AM25" s="10">
        <v>0.24199999999999999</v>
      </c>
      <c r="AN25" s="29">
        <v>0.13500000000000001</v>
      </c>
      <c r="AO25" s="28">
        <v>0.10100000000000001</v>
      </c>
      <c r="AP25" s="7">
        <v>750</v>
      </c>
    </row>
    <row r="26" spans="1:56">
      <c r="A26" s="54" t="s">
        <v>2</v>
      </c>
      <c r="B26" s="5">
        <v>0.17</v>
      </c>
      <c r="C26" s="6">
        <v>0.14599999999999999</v>
      </c>
      <c r="D26" s="5">
        <v>0.16500000000000001</v>
      </c>
      <c r="E26" s="20">
        <v>0.36</v>
      </c>
      <c r="F26" s="5">
        <v>0.19500000000000001</v>
      </c>
      <c r="G26" s="5">
        <v>0.17899999999999999</v>
      </c>
      <c r="H26" s="5">
        <v>0.17399999999999999</v>
      </c>
      <c r="I26" s="5">
        <v>0.16800000000000001</v>
      </c>
      <c r="J26" s="5">
        <v>0.17299999999999999</v>
      </c>
      <c r="K26" s="5">
        <v>0.16300000000000001</v>
      </c>
      <c r="L26" s="5">
        <v>0.16500000000000001</v>
      </c>
      <c r="M26" s="30">
        <v>0.71199999999999997</v>
      </c>
      <c r="N26" s="7">
        <v>490</v>
      </c>
      <c r="O26" s="54" t="s">
        <v>2</v>
      </c>
      <c r="P26" s="5">
        <v>0.16900000000000001</v>
      </c>
      <c r="Q26" s="5">
        <v>0.151</v>
      </c>
      <c r="R26" s="5">
        <v>0.16800000000000001</v>
      </c>
      <c r="S26" s="20">
        <v>0.35499999999999998</v>
      </c>
      <c r="T26" s="4">
        <v>0.20799999999999999</v>
      </c>
      <c r="U26" s="5">
        <v>0.17799999999999999</v>
      </c>
      <c r="V26" s="5">
        <v>0.17899999999999999</v>
      </c>
      <c r="W26" s="5">
        <v>0.16900000000000001</v>
      </c>
      <c r="X26" s="5">
        <v>0.17499999999999999</v>
      </c>
      <c r="Y26" s="5">
        <v>0.16</v>
      </c>
      <c r="Z26" s="5">
        <v>0.17199999999999999</v>
      </c>
      <c r="AA26" s="24">
        <v>0.63600000000000001</v>
      </c>
      <c r="AB26" s="7">
        <v>490</v>
      </c>
      <c r="AC26" s="54" t="s">
        <v>2</v>
      </c>
      <c r="AD26" s="5">
        <v>0.157</v>
      </c>
      <c r="AE26" s="5">
        <v>0.155</v>
      </c>
      <c r="AF26" s="5">
        <v>0.16400000000000001</v>
      </c>
      <c r="AG26" s="20">
        <v>0.374</v>
      </c>
      <c r="AH26" s="4">
        <v>0.21199999999999999</v>
      </c>
      <c r="AI26" s="5">
        <v>0.17100000000000001</v>
      </c>
      <c r="AJ26" s="5">
        <v>0.17699999999999999</v>
      </c>
      <c r="AK26" s="5">
        <v>0.16</v>
      </c>
      <c r="AL26" s="5">
        <v>0.17499999999999999</v>
      </c>
      <c r="AM26" s="5">
        <v>0.17</v>
      </c>
      <c r="AN26" s="5">
        <v>0.16400000000000001</v>
      </c>
      <c r="AO26" s="23">
        <v>0.61399999999999999</v>
      </c>
      <c r="AP26" s="7">
        <v>490</v>
      </c>
    </row>
    <row r="27" spans="1:56">
      <c r="A27" s="55"/>
      <c r="B27" s="28">
        <v>0.122</v>
      </c>
      <c r="C27" s="21">
        <v>0.105</v>
      </c>
      <c r="D27" s="28">
        <v>0.11899999999999999</v>
      </c>
      <c r="E27" s="11">
        <v>0.22500000000000001</v>
      </c>
      <c r="F27" s="29">
        <v>0.14399999999999999</v>
      </c>
      <c r="G27" s="28">
        <v>0.128</v>
      </c>
      <c r="H27" s="28">
        <v>0.126</v>
      </c>
      <c r="I27" s="28">
        <v>0.11700000000000001</v>
      </c>
      <c r="J27" s="28">
        <v>0.125</v>
      </c>
      <c r="K27" s="28">
        <v>0.11899999999999999</v>
      </c>
      <c r="L27" s="28">
        <v>0.122</v>
      </c>
      <c r="M27" s="26">
        <v>0.39300000000000002</v>
      </c>
      <c r="N27" s="7">
        <v>750</v>
      </c>
      <c r="O27" s="55"/>
      <c r="P27" s="29">
        <v>0.121</v>
      </c>
      <c r="Q27" s="28">
        <v>0.108</v>
      </c>
      <c r="R27" s="29">
        <v>0.122</v>
      </c>
      <c r="S27" s="18">
        <v>0.223</v>
      </c>
      <c r="T27" s="13">
        <v>0.153</v>
      </c>
      <c r="U27" s="29">
        <v>0.129</v>
      </c>
      <c r="V27" s="29">
        <v>0.13</v>
      </c>
      <c r="W27" s="29">
        <v>0.11899999999999999</v>
      </c>
      <c r="X27" s="29">
        <v>0.128</v>
      </c>
      <c r="Y27" s="28">
        <v>0.11799999999999999</v>
      </c>
      <c r="Z27" s="29">
        <v>0.128</v>
      </c>
      <c r="AA27" s="26">
        <v>0.33600000000000002</v>
      </c>
      <c r="AB27" s="7">
        <v>750</v>
      </c>
      <c r="AC27" s="55"/>
      <c r="AD27" s="28">
        <v>0.113</v>
      </c>
      <c r="AE27" s="28">
        <v>0.111</v>
      </c>
      <c r="AF27" s="29">
        <v>0.11899999999999999</v>
      </c>
      <c r="AG27" s="18">
        <v>0.23599999999999999</v>
      </c>
      <c r="AH27" s="13">
        <v>0.154</v>
      </c>
      <c r="AI27" s="29">
        <v>0.125</v>
      </c>
      <c r="AJ27" s="29">
        <v>0.127</v>
      </c>
      <c r="AK27" s="28">
        <v>0.114</v>
      </c>
      <c r="AL27" s="29">
        <v>0.127</v>
      </c>
      <c r="AM27" s="29">
        <v>0.123</v>
      </c>
      <c r="AN27" s="29">
        <v>0.122</v>
      </c>
      <c r="AO27" s="26">
        <v>0.33300000000000002</v>
      </c>
      <c r="AP27" s="7">
        <v>750</v>
      </c>
    </row>
    <row r="28" spans="1:56">
      <c r="A28" s="54" t="s">
        <v>3</v>
      </c>
      <c r="B28" s="5">
        <v>0.17100000000000001</v>
      </c>
      <c r="C28" s="6">
        <v>0.151</v>
      </c>
      <c r="D28" s="5">
        <v>0.158</v>
      </c>
      <c r="E28" s="6">
        <v>0.14799999999999999</v>
      </c>
      <c r="F28" s="5">
        <v>0.158</v>
      </c>
      <c r="G28" s="4">
        <v>0.25700000000000001</v>
      </c>
      <c r="H28" s="22">
        <v>0.42</v>
      </c>
      <c r="I28" s="3">
        <v>0.317</v>
      </c>
      <c r="J28" s="5">
        <v>0.153</v>
      </c>
      <c r="K28" s="5">
        <v>0.191</v>
      </c>
      <c r="L28" s="5">
        <v>0.154</v>
      </c>
      <c r="M28" s="5">
        <v>0.16400000000000001</v>
      </c>
      <c r="N28" s="7">
        <v>490</v>
      </c>
      <c r="O28" s="54" t="s">
        <v>3</v>
      </c>
      <c r="P28" s="5">
        <v>0.17299999999999999</v>
      </c>
      <c r="Q28" s="5">
        <v>0.155</v>
      </c>
      <c r="R28" s="5">
        <v>0.16300000000000001</v>
      </c>
      <c r="S28" s="5">
        <v>0.15</v>
      </c>
      <c r="T28" s="5">
        <v>0.16800000000000001</v>
      </c>
      <c r="U28" s="3">
        <v>0.26300000000000001</v>
      </c>
      <c r="V28" s="16">
        <v>0.443</v>
      </c>
      <c r="W28" s="3">
        <v>0.307</v>
      </c>
      <c r="X28" s="5">
        <v>0.15</v>
      </c>
      <c r="Y28" s="5">
        <v>0.17100000000000001</v>
      </c>
      <c r="Z28" s="5">
        <v>0.156</v>
      </c>
      <c r="AA28" s="5">
        <v>0.157</v>
      </c>
      <c r="AB28" s="7">
        <v>490</v>
      </c>
      <c r="AC28" s="54" t="s">
        <v>3</v>
      </c>
      <c r="AD28" s="5">
        <v>0.17100000000000001</v>
      </c>
      <c r="AE28" s="5">
        <v>0.157</v>
      </c>
      <c r="AF28" s="5">
        <v>0.16600000000000001</v>
      </c>
      <c r="AG28" s="6">
        <v>0.14000000000000001</v>
      </c>
      <c r="AH28" s="5">
        <v>0.17299999999999999</v>
      </c>
      <c r="AI28" s="4">
        <v>0.23499999999999999</v>
      </c>
      <c r="AJ28" s="16">
        <v>0.46100000000000002</v>
      </c>
      <c r="AK28" s="3">
        <v>0.32800000000000001</v>
      </c>
      <c r="AL28" s="5">
        <v>0.158</v>
      </c>
      <c r="AM28" s="5">
        <v>0.16800000000000001</v>
      </c>
      <c r="AN28" s="5">
        <v>0.154</v>
      </c>
      <c r="AO28" s="5">
        <v>0.161</v>
      </c>
      <c r="AP28" s="7">
        <v>490</v>
      </c>
    </row>
    <row r="29" spans="1:56">
      <c r="A29" s="55"/>
      <c r="B29" s="28">
        <v>0.124</v>
      </c>
      <c r="C29" s="21">
        <v>0.11</v>
      </c>
      <c r="D29" s="28">
        <v>0.115</v>
      </c>
      <c r="E29" s="21">
        <v>9.2999999999999999E-2</v>
      </c>
      <c r="F29" s="28">
        <v>0.11600000000000001</v>
      </c>
      <c r="G29" s="29">
        <v>0.14499999999999999</v>
      </c>
      <c r="H29" s="17">
        <v>0.188</v>
      </c>
      <c r="I29" s="11">
        <v>0.20899999999999999</v>
      </c>
      <c r="J29" s="21">
        <v>0.108</v>
      </c>
      <c r="K29" s="29">
        <v>0.13500000000000001</v>
      </c>
      <c r="L29" s="21">
        <v>0.111</v>
      </c>
      <c r="M29" s="28">
        <v>0.11799999999999999</v>
      </c>
      <c r="N29" s="7">
        <v>750</v>
      </c>
      <c r="O29" s="55"/>
      <c r="P29" s="29">
        <v>0.125</v>
      </c>
      <c r="Q29" s="28">
        <v>0.114</v>
      </c>
      <c r="R29" s="28">
        <v>0.11899999999999999</v>
      </c>
      <c r="S29" s="21">
        <v>9.4E-2</v>
      </c>
      <c r="T29" s="29">
        <v>0.123</v>
      </c>
      <c r="U29" s="13">
        <v>0.14899999999999999</v>
      </c>
      <c r="V29" s="11">
        <v>0.189</v>
      </c>
      <c r="W29" s="12">
        <v>0.20799999999999999</v>
      </c>
      <c r="X29" s="28">
        <v>0.108</v>
      </c>
      <c r="Y29" s="29">
        <v>0.127</v>
      </c>
      <c r="Z29" s="28">
        <v>0.113</v>
      </c>
      <c r="AA29" s="28">
        <v>0.114</v>
      </c>
      <c r="AB29" s="7">
        <v>750</v>
      </c>
      <c r="AC29" s="55"/>
      <c r="AD29" s="29">
        <v>0.123</v>
      </c>
      <c r="AE29" s="28">
        <v>0.113</v>
      </c>
      <c r="AF29" s="29">
        <v>0.12</v>
      </c>
      <c r="AG29" s="21">
        <v>9.0999999999999998E-2</v>
      </c>
      <c r="AH29" s="29">
        <v>0.125</v>
      </c>
      <c r="AI29" s="13">
        <v>0.14699999999999999</v>
      </c>
      <c r="AJ29" s="12">
        <v>0.20399999999999999</v>
      </c>
      <c r="AK29" s="18">
        <v>0.217</v>
      </c>
      <c r="AL29" s="28">
        <v>0.111</v>
      </c>
      <c r="AM29" s="29">
        <v>0.123</v>
      </c>
      <c r="AN29" s="28">
        <v>0.113</v>
      </c>
      <c r="AO29" s="28">
        <v>0.11600000000000001</v>
      </c>
      <c r="AP29" s="7">
        <v>750</v>
      </c>
    </row>
    <row r="30" spans="1:56">
      <c r="A30" s="54" t="s">
        <v>4</v>
      </c>
      <c r="B30" s="6">
        <v>9.5000000000000001E-2</v>
      </c>
      <c r="C30" s="6">
        <v>0.13600000000000001</v>
      </c>
      <c r="D30" s="5">
        <v>0.154</v>
      </c>
      <c r="E30" s="3">
        <v>0.28499999999999998</v>
      </c>
      <c r="F30" s="22">
        <v>0.39900000000000002</v>
      </c>
      <c r="G30" s="5">
        <v>0.16800000000000001</v>
      </c>
      <c r="H30" s="5">
        <v>0.16700000000000001</v>
      </c>
      <c r="I30" s="5">
        <v>0.16600000000000001</v>
      </c>
      <c r="J30" s="5">
        <v>0.159</v>
      </c>
      <c r="K30" s="5">
        <v>0.159</v>
      </c>
      <c r="L30" s="6">
        <v>0.14899999999999999</v>
      </c>
      <c r="M30" s="3">
        <v>0.32100000000000001</v>
      </c>
      <c r="N30" s="7">
        <v>490</v>
      </c>
      <c r="O30" s="54" t="s">
        <v>4</v>
      </c>
      <c r="P30" s="6">
        <v>8.8999999999999996E-2</v>
      </c>
      <c r="Q30" s="6">
        <v>0.13100000000000001</v>
      </c>
      <c r="R30" s="5">
        <v>0.159</v>
      </c>
      <c r="S30" s="3">
        <v>0.27600000000000002</v>
      </c>
      <c r="T30" s="16">
        <v>0.42699999999999999</v>
      </c>
      <c r="U30" s="5">
        <v>0.16800000000000001</v>
      </c>
      <c r="V30" s="5">
        <v>0.17399999999999999</v>
      </c>
      <c r="W30" s="5">
        <v>0.17299999999999999</v>
      </c>
      <c r="X30" s="5">
        <v>0.157</v>
      </c>
      <c r="Y30" s="5">
        <v>0.17599999999999999</v>
      </c>
      <c r="Z30" s="5">
        <v>0.154</v>
      </c>
      <c r="AA30" s="20">
        <v>0.33700000000000002</v>
      </c>
      <c r="AB30" s="7">
        <v>490</v>
      </c>
      <c r="AC30" s="54" t="s">
        <v>4</v>
      </c>
      <c r="AD30" s="6">
        <v>8.8999999999999996E-2</v>
      </c>
      <c r="AE30" s="6">
        <v>0.13800000000000001</v>
      </c>
      <c r="AF30" s="5">
        <v>0.154</v>
      </c>
      <c r="AG30" s="4">
        <v>0.26100000000000001</v>
      </c>
      <c r="AH30" s="22">
        <v>0.39600000000000002</v>
      </c>
      <c r="AI30" s="5">
        <v>0.16600000000000001</v>
      </c>
      <c r="AJ30" s="5">
        <v>0.17299999999999999</v>
      </c>
      <c r="AK30" s="5">
        <v>0.16</v>
      </c>
      <c r="AL30" s="5">
        <v>0.161</v>
      </c>
      <c r="AM30" s="5">
        <v>0.156</v>
      </c>
      <c r="AN30" s="6">
        <v>0.14799999999999999</v>
      </c>
      <c r="AO30" s="3">
        <v>0.30299999999999999</v>
      </c>
      <c r="AP30" s="7">
        <v>490</v>
      </c>
    </row>
    <row r="31" spans="1:56">
      <c r="A31" s="55"/>
      <c r="B31" s="14">
        <v>6.5000000000000002E-2</v>
      </c>
      <c r="C31" s="21">
        <v>9.7000000000000003E-2</v>
      </c>
      <c r="D31" s="28">
        <v>0.114</v>
      </c>
      <c r="E31" s="11">
        <v>0.21</v>
      </c>
      <c r="F31" s="21">
        <v>9.7000000000000003E-2</v>
      </c>
      <c r="G31" s="28">
        <v>0.12</v>
      </c>
      <c r="H31" s="28">
        <v>0.11899999999999999</v>
      </c>
      <c r="I31" s="28">
        <v>0.121</v>
      </c>
      <c r="J31" s="21">
        <v>0.111</v>
      </c>
      <c r="K31" s="28">
        <v>0.112</v>
      </c>
      <c r="L31" s="21">
        <v>0.109</v>
      </c>
      <c r="M31" s="28">
        <v>0.122</v>
      </c>
      <c r="N31" s="7">
        <v>750</v>
      </c>
      <c r="O31" s="55"/>
      <c r="P31" s="14">
        <v>0.06</v>
      </c>
      <c r="Q31" s="21">
        <v>9.6000000000000002E-2</v>
      </c>
      <c r="R31" s="28">
        <v>0.11899999999999999</v>
      </c>
      <c r="S31" s="12">
        <v>0.20399999999999999</v>
      </c>
      <c r="T31" s="28">
        <v>0.10299999999999999</v>
      </c>
      <c r="U31" s="29">
        <v>0.121</v>
      </c>
      <c r="V31" s="29">
        <v>0.124</v>
      </c>
      <c r="W31" s="29">
        <v>0.127</v>
      </c>
      <c r="X31" s="28">
        <v>0.112</v>
      </c>
      <c r="Y31" s="29">
        <v>0.13200000000000001</v>
      </c>
      <c r="Z31" s="28">
        <v>0.114</v>
      </c>
      <c r="AA31" s="29">
        <v>0.123</v>
      </c>
      <c r="AB31" s="7">
        <v>750</v>
      </c>
      <c r="AC31" s="55"/>
      <c r="AD31" s="14">
        <v>0.06</v>
      </c>
      <c r="AE31" s="21">
        <v>9.8000000000000004E-2</v>
      </c>
      <c r="AF31" s="28">
        <v>0.115</v>
      </c>
      <c r="AG31" s="11">
        <v>0.193</v>
      </c>
      <c r="AH31" s="28">
        <v>0.10199999999999999</v>
      </c>
      <c r="AI31" s="28">
        <v>0.11899999999999999</v>
      </c>
      <c r="AJ31" s="29">
        <v>0.121</v>
      </c>
      <c r="AK31" s="28">
        <v>0.11700000000000001</v>
      </c>
      <c r="AL31" s="28">
        <v>0.115</v>
      </c>
      <c r="AM31" s="28">
        <v>0.11</v>
      </c>
      <c r="AN31" s="28">
        <v>0.109</v>
      </c>
      <c r="AO31" s="29">
        <v>0.122</v>
      </c>
      <c r="AP31" s="7">
        <v>750</v>
      </c>
    </row>
    <row r="32" spans="1:56">
      <c r="A32" s="54" t="s">
        <v>5</v>
      </c>
      <c r="B32" s="5">
        <v>0.155</v>
      </c>
      <c r="C32" s="6">
        <v>0.14399999999999999</v>
      </c>
      <c r="D32" s="5">
        <v>0.17499999999999999</v>
      </c>
      <c r="E32" s="5">
        <v>0.16500000000000001</v>
      </c>
      <c r="F32" s="5">
        <v>0.18</v>
      </c>
      <c r="G32" s="5">
        <v>0.16400000000000001</v>
      </c>
      <c r="H32" s="5">
        <v>0.152</v>
      </c>
      <c r="I32" s="5">
        <v>0.17199999999999999</v>
      </c>
      <c r="J32" s="4">
        <v>0.23300000000000001</v>
      </c>
      <c r="K32" s="5">
        <v>0.155</v>
      </c>
      <c r="L32" s="5">
        <v>0.153</v>
      </c>
      <c r="M32" s="5">
        <v>0.161</v>
      </c>
      <c r="N32" s="7">
        <v>490</v>
      </c>
      <c r="O32" s="54" t="s">
        <v>5</v>
      </c>
      <c r="P32" s="5">
        <v>0.16600000000000001</v>
      </c>
      <c r="Q32" s="5">
        <v>0.14699999999999999</v>
      </c>
      <c r="R32" s="5">
        <v>0.155</v>
      </c>
      <c r="S32" s="5">
        <v>0.161</v>
      </c>
      <c r="T32" s="5">
        <v>0.186</v>
      </c>
      <c r="U32" s="5">
        <v>0.161</v>
      </c>
      <c r="V32" s="5">
        <v>0.17100000000000001</v>
      </c>
      <c r="W32" s="5">
        <v>0.16200000000000001</v>
      </c>
      <c r="X32" s="4">
        <v>0.24299999999999999</v>
      </c>
      <c r="Y32" s="5">
        <v>0.157</v>
      </c>
      <c r="Z32" s="5">
        <v>0.16200000000000001</v>
      </c>
      <c r="AA32" s="5">
        <v>0.14899999999999999</v>
      </c>
      <c r="AB32" s="7">
        <v>490</v>
      </c>
      <c r="AC32" s="54" t="s">
        <v>5</v>
      </c>
      <c r="AD32" s="5">
        <v>0.152</v>
      </c>
      <c r="AE32" s="5">
        <v>0.153</v>
      </c>
      <c r="AF32" s="5">
        <v>0.16200000000000001</v>
      </c>
      <c r="AG32" s="5">
        <v>0.16</v>
      </c>
      <c r="AH32" s="5">
        <v>0.189</v>
      </c>
      <c r="AI32" s="5">
        <v>0.16200000000000001</v>
      </c>
      <c r="AJ32" s="5">
        <v>0.16600000000000001</v>
      </c>
      <c r="AK32" s="5">
        <v>0.151</v>
      </c>
      <c r="AL32" s="4">
        <v>0.24</v>
      </c>
      <c r="AM32" s="5">
        <v>0.17799999999999999</v>
      </c>
      <c r="AN32" s="6">
        <v>0.14799999999999999</v>
      </c>
      <c r="AO32" s="5">
        <v>0.158</v>
      </c>
      <c r="AP32" s="7">
        <v>490</v>
      </c>
    </row>
    <row r="33" spans="1:42">
      <c r="A33" s="55"/>
      <c r="B33" s="28">
        <v>0.112</v>
      </c>
      <c r="C33" s="21">
        <v>0.106</v>
      </c>
      <c r="D33" s="28">
        <v>0.11899999999999999</v>
      </c>
      <c r="E33" s="28">
        <v>0.123</v>
      </c>
      <c r="F33" s="28">
        <v>0.112</v>
      </c>
      <c r="G33" s="28">
        <v>0.11700000000000001</v>
      </c>
      <c r="H33" s="21">
        <v>0.111</v>
      </c>
      <c r="I33" s="28">
        <v>0.124</v>
      </c>
      <c r="J33" s="21">
        <v>0.10100000000000001</v>
      </c>
      <c r="K33" s="28">
        <v>0.112</v>
      </c>
      <c r="L33" s="21">
        <v>0.111</v>
      </c>
      <c r="M33" s="28">
        <v>0.115</v>
      </c>
      <c r="N33" s="7">
        <v>750</v>
      </c>
      <c r="O33" s="55"/>
      <c r="P33" s="29">
        <v>0.12</v>
      </c>
      <c r="Q33" s="28">
        <v>0.11</v>
      </c>
      <c r="R33" s="28">
        <v>0.114</v>
      </c>
      <c r="S33" s="29">
        <v>0.121</v>
      </c>
      <c r="T33" s="28">
        <v>0.11600000000000001</v>
      </c>
      <c r="U33" s="28">
        <v>0.11799999999999999</v>
      </c>
      <c r="V33" s="29">
        <v>0.124</v>
      </c>
      <c r="W33" s="29">
        <v>0.11899999999999999</v>
      </c>
      <c r="X33" s="28">
        <v>0.111</v>
      </c>
      <c r="Y33" s="28">
        <v>0.11600000000000001</v>
      </c>
      <c r="Z33" s="29">
        <v>0.12</v>
      </c>
      <c r="AA33" s="28">
        <v>0.108</v>
      </c>
      <c r="AB33" s="7">
        <v>750</v>
      </c>
      <c r="AC33" s="55"/>
      <c r="AD33" s="28">
        <v>0.11</v>
      </c>
      <c r="AE33" s="28">
        <v>0.112</v>
      </c>
      <c r="AF33" s="28">
        <v>0.11799999999999999</v>
      </c>
      <c r="AG33" s="28">
        <v>0.11799999999999999</v>
      </c>
      <c r="AH33" s="28">
        <v>0.11700000000000001</v>
      </c>
      <c r="AI33" s="28">
        <v>0.11600000000000001</v>
      </c>
      <c r="AJ33" s="29">
        <v>0.12</v>
      </c>
      <c r="AK33" s="28">
        <v>0.11</v>
      </c>
      <c r="AL33" s="28">
        <v>0.105</v>
      </c>
      <c r="AM33" s="29">
        <v>0.127</v>
      </c>
      <c r="AN33" s="28">
        <v>0.108</v>
      </c>
      <c r="AO33" s="28">
        <v>0.113</v>
      </c>
      <c r="AP33" s="7">
        <v>750</v>
      </c>
    </row>
    <row r="34" spans="1:42">
      <c r="A34" s="54" t="s">
        <v>6</v>
      </c>
      <c r="B34" s="5">
        <v>0.17699999999999999</v>
      </c>
      <c r="C34" s="3">
        <v>0.28499999999999998</v>
      </c>
      <c r="D34" s="5">
        <v>0.16</v>
      </c>
      <c r="E34" s="4">
        <v>0.217</v>
      </c>
      <c r="F34" s="6">
        <v>0.123</v>
      </c>
      <c r="G34" s="5">
        <v>0.158</v>
      </c>
      <c r="H34" s="6">
        <v>0.14599999999999999</v>
      </c>
      <c r="I34" s="5">
        <v>0.155</v>
      </c>
      <c r="J34" s="6">
        <v>0.151</v>
      </c>
      <c r="K34" s="5">
        <v>0.19900000000000001</v>
      </c>
      <c r="L34" s="6">
        <v>0.13</v>
      </c>
      <c r="M34" s="6">
        <v>0.14799999999999999</v>
      </c>
      <c r="N34" s="7">
        <v>490</v>
      </c>
      <c r="O34" s="54" t="s">
        <v>6</v>
      </c>
      <c r="P34" s="5">
        <v>0.14799999999999999</v>
      </c>
      <c r="Q34" s="5">
        <v>0.158</v>
      </c>
      <c r="R34" s="5">
        <v>0.156</v>
      </c>
      <c r="S34" s="3">
        <v>0.26300000000000001</v>
      </c>
      <c r="T34" s="6">
        <v>0.13</v>
      </c>
      <c r="U34" s="5">
        <v>0.157</v>
      </c>
      <c r="V34" s="5">
        <v>0.14699999999999999</v>
      </c>
      <c r="W34" s="5">
        <v>0.159</v>
      </c>
      <c r="X34" s="5">
        <v>0.156</v>
      </c>
      <c r="Y34" s="6">
        <v>0.14199999999999999</v>
      </c>
      <c r="Z34" s="6">
        <v>0.13600000000000001</v>
      </c>
      <c r="AA34" s="5">
        <v>0.14899999999999999</v>
      </c>
      <c r="AB34" s="7">
        <v>490</v>
      </c>
      <c r="AC34" s="54" t="s">
        <v>6</v>
      </c>
      <c r="AD34" s="5">
        <v>0.159</v>
      </c>
      <c r="AE34" s="5">
        <v>0.17299999999999999</v>
      </c>
      <c r="AF34" s="5">
        <v>0.153</v>
      </c>
      <c r="AG34" s="4">
        <v>0.245</v>
      </c>
      <c r="AH34" s="6">
        <v>0.13300000000000001</v>
      </c>
      <c r="AI34" s="5">
        <v>0.15</v>
      </c>
      <c r="AJ34" s="6">
        <v>0.14499999999999999</v>
      </c>
      <c r="AK34" s="6">
        <v>0.14499999999999999</v>
      </c>
      <c r="AL34" s="5">
        <v>0.17100000000000001</v>
      </c>
      <c r="AM34" s="6">
        <v>0.14599999999999999</v>
      </c>
      <c r="AN34" s="6">
        <v>0.126</v>
      </c>
      <c r="AO34" s="5">
        <v>0.15</v>
      </c>
      <c r="AP34" s="7">
        <v>490</v>
      </c>
    </row>
    <row r="35" spans="1:42">
      <c r="A35" s="55"/>
      <c r="B35" s="28">
        <v>0.124</v>
      </c>
      <c r="C35" s="17">
        <v>0.19600000000000001</v>
      </c>
      <c r="D35" s="28">
        <v>0.12</v>
      </c>
      <c r="E35" s="13">
        <v>0.16300000000000001</v>
      </c>
      <c r="F35" s="14">
        <v>8.7999999999999995E-2</v>
      </c>
      <c r="G35" s="21">
        <v>0.108</v>
      </c>
      <c r="H35" s="21">
        <v>0.10299999999999999</v>
      </c>
      <c r="I35" s="21">
        <v>0.111</v>
      </c>
      <c r="J35" s="21">
        <v>0.108</v>
      </c>
      <c r="K35" s="29">
        <v>0.13600000000000001</v>
      </c>
      <c r="L35" s="21">
        <v>0.09</v>
      </c>
      <c r="M35" s="21">
        <v>0.10299999999999999</v>
      </c>
      <c r="N35" s="7">
        <v>750</v>
      </c>
      <c r="O35" s="55"/>
      <c r="P35" s="28">
        <v>0.106</v>
      </c>
      <c r="Q35" s="29">
        <v>0.12</v>
      </c>
      <c r="R35" s="28">
        <v>0.11700000000000001</v>
      </c>
      <c r="S35" s="11">
        <v>0.19600000000000001</v>
      </c>
      <c r="T35" s="21">
        <v>9.2999999999999999E-2</v>
      </c>
      <c r="U35" s="28">
        <v>0.11</v>
      </c>
      <c r="V35" s="28">
        <v>0.104</v>
      </c>
      <c r="W35" s="28">
        <v>0.115</v>
      </c>
      <c r="X35" s="28">
        <v>0.11</v>
      </c>
      <c r="Y35" s="28">
        <v>0.10299999999999999</v>
      </c>
      <c r="Z35" s="21">
        <v>9.4E-2</v>
      </c>
      <c r="AA35" s="28">
        <v>0.104</v>
      </c>
      <c r="AB35" s="7">
        <v>750</v>
      </c>
      <c r="AC35" s="55"/>
      <c r="AD35" s="28">
        <v>0.113</v>
      </c>
      <c r="AE35" s="29">
        <v>0.128</v>
      </c>
      <c r="AF35" s="28">
        <v>0.114</v>
      </c>
      <c r="AG35" s="11">
        <v>0.17899999999999999</v>
      </c>
      <c r="AH35" s="21">
        <v>9.2999999999999999E-2</v>
      </c>
      <c r="AI35" s="28">
        <v>0.10199999999999999</v>
      </c>
      <c r="AJ35" s="28">
        <v>0.10100000000000001</v>
      </c>
      <c r="AK35" s="28">
        <v>0.104</v>
      </c>
      <c r="AL35" s="28">
        <v>0.11899999999999999</v>
      </c>
      <c r="AM35" s="28">
        <v>0.105</v>
      </c>
      <c r="AN35" s="21">
        <v>8.7999999999999995E-2</v>
      </c>
      <c r="AO35" s="28">
        <v>0.105</v>
      </c>
      <c r="AP35" s="7">
        <v>750</v>
      </c>
    </row>
    <row r="36" spans="1:42">
      <c r="A36" s="54" t="s">
        <v>7</v>
      </c>
      <c r="B36" s="3">
        <v>0.308</v>
      </c>
      <c r="C36" s="6">
        <v>0.121</v>
      </c>
      <c r="D36" s="5">
        <v>0.16500000000000001</v>
      </c>
      <c r="E36" s="5">
        <v>0.159</v>
      </c>
      <c r="F36" s="5">
        <v>0.153</v>
      </c>
      <c r="G36" s="5">
        <v>0.16200000000000001</v>
      </c>
      <c r="H36" s="5">
        <v>0.161</v>
      </c>
      <c r="I36" s="5">
        <v>0.17100000000000001</v>
      </c>
      <c r="J36" s="25">
        <v>0.88700000000000001</v>
      </c>
      <c r="K36" s="5">
        <v>0.16</v>
      </c>
      <c r="L36" s="5">
        <v>0.17499999999999999</v>
      </c>
      <c r="M36" s="5">
        <v>0.17199999999999999</v>
      </c>
      <c r="N36" s="7">
        <v>490</v>
      </c>
      <c r="O36" s="54" t="s">
        <v>7</v>
      </c>
      <c r="P36" s="3">
        <v>0.307</v>
      </c>
      <c r="Q36" s="6">
        <v>0.13400000000000001</v>
      </c>
      <c r="R36" s="5">
        <v>0.153</v>
      </c>
      <c r="S36" s="5">
        <v>0.154</v>
      </c>
      <c r="T36" s="5">
        <v>0.151</v>
      </c>
      <c r="U36" s="5">
        <v>0.158</v>
      </c>
      <c r="V36" s="5">
        <v>0.161</v>
      </c>
      <c r="W36" s="5">
        <v>0.16400000000000001</v>
      </c>
      <c r="X36" s="25">
        <v>0.85799999999999998</v>
      </c>
      <c r="Y36" s="5">
        <v>0.16300000000000001</v>
      </c>
      <c r="Z36" s="5">
        <v>0.183</v>
      </c>
      <c r="AA36" s="5">
        <v>0.17199999999999999</v>
      </c>
      <c r="AB36" s="7">
        <v>490</v>
      </c>
      <c r="AC36" s="54" t="s">
        <v>7</v>
      </c>
      <c r="AD36" s="3">
        <v>0.27900000000000003</v>
      </c>
      <c r="AE36" s="6">
        <v>0.13300000000000001</v>
      </c>
      <c r="AF36" s="6">
        <v>0.14899999999999999</v>
      </c>
      <c r="AG36" s="5">
        <v>0.153</v>
      </c>
      <c r="AH36" s="5">
        <v>0.15</v>
      </c>
      <c r="AI36" s="5">
        <v>0.153</v>
      </c>
      <c r="AJ36" s="5">
        <v>0.16</v>
      </c>
      <c r="AK36" s="5">
        <v>0.158</v>
      </c>
      <c r="AL36" s="25">
        <v>0.93</v>
      </c>
      <c r="AM36" s="5">
        <v>0.16500000000000001</v>
      </c>
      <c r="AN36" s="5">
        <v>0.16800000000000001</v>
      </c>
      <c r="AO36" s="5">
        <v>0.16400000000000001</v>
      </c>
      <c r="AP36" s="7">
        <v>490</v>
      </c>
    </row>
    <row r="37" spans="1:42">
      <c r="A37" s="55"/>
      <c r="B37" s="11">
        <v>0.21099999999999999</v>
      </c>
      <c r="C37" s="14">
        <v>8.5000000000000006E-2</v>
      </c>
      <c r="D37" s="28">
        <v>0.11799999999999999</v>
      </c>
      <c r="E37" s="28">
        <v>0.113</v>
      </c>
      <c r="F37" s="21">
        <v>0.11</v>
      </c>
      <c r="G37" s="28">
        <v>0.114</v>
      </c>
      <c r="H37" s="28">
        <v>0.112</v>
      </c>
      <c r="I37" s="28">
        <v>0.124</v>
      </c>
      <c r="J37" s="9">
        <v>0.315</v>
      </c>
      <c r="K37" s="28">
        <v>0.114</v>
      </c>
      <c r="L37" s="21">
        <v>0.11</v>
      </c>
      <c r="M37" s="28">
        <v>0.124</v>
      </c>
      <c r="N37" s="7">
        <v>750</v>
      </c>
      <c r="O37" s="55"/>
      <c r="P37" s="12">
        <v>0.21199999999999999</v>
      </c>
      <c r="Q37" s="21">
        <v>9.4E-2</v>
      </c>
      <c r="R37" s="28">
        <v>0.11</v>
      </c>
      <c r="S37" s="28">
        <v>0.11</v>
      </c>
      <c r="T37" s="28">
        <v>0.11</v>
      </c>
      <c r="U37" s="28">
        <v>0.112</v>
      </c>
      <c r="V37" s="28">
        <v>0.113</v>
      </c>
      <c r="W37" s="28">
        <v>0.11899999999999999</v>
      </c>
      <c r="X37" s="9">
        <v>0.27300000000000002</v>
      </c>
      <c r="Y37" s="28">
        <v>0.11799999999999999</v>
      </c>
      <c r="Z37" s="28">
        <v>0.11799999999999999</v>
      </c>
      <c r="AA37" s="29">
        <v>0.124</v>
      </c>
      <c r="AB37" s="7">
        <v>750</v>
      </c>
      <c r="AC37" s="55"/>
      <c r="AD37" s="11">
        <v>0.19400000000000001</v>
      </c>
      <c r="AE37" s="21">
        <v>9.2999999999999999E-2</v>
      </c>
      <c r="AF37" s="28">
        <v>0.107</v>
      </c>
      <c r="AG37" s="28">
        <v>0.108</v>
      </c>
      <c r="AH37" s="28">
        <v>0.107</v>
      </c>
      <c r="AI37" s="28">
        <v>0.108</v>
      </c>
      <c r="AJ37" s="28">
        <v>0.11</v>
      </c>
      <c r="AK37" s="28">
        <v>0.115</v>
      </c>
      <c r="AL37" s="26">
        <v>0.33</v>
      </c>
      <c r="AM37" s="29">
        <v>0.121</v>
      </c>
      <c r="AN37" s="28">
        <v>0.108</v>
      </c>
      <c r="AO37" s="29">
        <v>0.11899999999999999</v>
      </c>
      <c r="AP37" s="7">
        <v>750</v>
      </c>
    </row>
    <row r="39" spans="1:42">
      <c r="A39" t="s">
        <v>12</v>
      </c>
      <c r="B39">
        <v>2.1</v>
      </c>
      <c r="O39" t="s">
        <v>12</v>
      </c>
      <c r="P39">
        <v>2.2000000000000002</v>
      </c>
      <c r="AC39" t="s">
        <v>12</v>
      </c>
      <c r="AD39">
        <v>2.2999999999999998</v>
      </c>
    </row>
    <row r="40" spans="1:42">
      <c r="A40" s="1"/>
      <c r="B40" s="2">
        <v>1</v>
      </c>
      <c r="C40" s="2">
        <v>2</v>
      </c>
      <c r="D40" s="2">
        <v>3</v>
      </c>
      <c r="E40" s="2">
        <v>4</v>
      </c>
      <c r="F40" s="2">
        <v>5</v>
      </c>
      <c r="G40" s="2">
        <v>6</v>
      </c>
      <c r="H40" s="2">
        <v>7</v>
      </c>
      <c r="I40" s="2">
        <v>8</v>
      </c>
      <c r="J40" s="2">
        <v>9</v>
      </c>
      <c r="K40" s="2">
        <v>10</v>
      </c>
      <c r="L40" s="2">
        <v>11</v>
      </c>
      <c r="M40" s="2">
        <v>12</v>
      </c>
      <c r="O40" s="1"/>
      <c r="P40" s="2">
        <v>1</v>
      </c>
      <c r="Q40" s="2">
        <v>2</v>
      </c>
      <c r="R40" s="2">
        <v>3</v>
      </c>
      <c r="S40" s="2">
        <v>4</v>
      </c>
      <c r="T40" s="2">
        <v>5</v>
      </c>
      <c r="U40" s="2">
        <v>6</v>
      </c>
      <c r="V40" s="2">
        <v>7</v>
      </c>
      <c r="W40" s="2">
        <v>8</v>
      </c>
      <c r="X40" s="2">
        <v>9</v>
      </c>
      <c r="Y40" s="2">
        <v>10</v>
      </c>
      <c r="Z40" s="2">
        <v>11</v>
      </c>
      <c r="AA40" s="2">
        <v>12</v>
      </c>
      <c r="AC40" s="1"/>
      <c r="AD40" s="2">
        <v>1</v>
      </c>
      <c r="AE40" s="2">
        <v>2</v>
      </c>
      <c r="AF40" s="2">
        <v>3</v>
      </c>
      <c r="AG40" s="2">
        <v>4</v>
      </c>
      <c r="AH40" s="2">
        <v>5</v>
      </c>
      <c r="AI40" s="2">
        <v>6</v>
      </c>
      <c r="AJ40" s="2">
        <v>7</v>
      </c>
      <c r="AK40" s="2">
        <v>8</v>
      </c>
      <c r="AL40" s="2">
        <v>9</v>
      </c>
      <c r="AM40" s="2">
        <v>10</v>
      </c>
      <c r="AN40" s="2">
        <v>11</v>
      </c>
      <c r="AO40" s="2">
        <v>12</v>
      </c>
    </row>
    <row r="41" spans="1:42">
      <c r="A41" s="54" t="s">
        <v>0</v>
      </c>
      <c r="B41" s="6">
        <v>0.159</v>
      </c>
      <c r="C41" s="5">
        <v>0.182</v>
      </c>
      <c r="D41" s="5">
        <v>0.19400000000000001</v>
      </c>
      <c r="E41" s="5">
        <v>0.20499999999999999</v>
      </c>
      <c r="F41" s="6">
        <v>0.14699999999999999</v>
      </c>
      <c r="G41" s="5">
        <v>0.20100000000000001</v>
      </c>
      <c r="H41" s="6">
        <v>0.13600000000000001</v>
      </c>
      <c r="I41" s="6">
        <v>0.157</v>
      </c>
      <c r="J41" s="6">
        <v>0.16200000000000001</v>
      </c>
      <c r="K41" s="16">
        <v>0.55700000000000005</v>
      </c>
      <c r="L41" s="6">
        <v>0.16700000000000001</v>
      </c>
      <c r="M41" s="3">
        <v>0.34499999999999997</v>
      </c>
      <c r="N41" s="7">
        <v>490</v>
      </c>
      <c r="O41" s="54" t="s">
        <v>0</v>
      </c>
      <c r="P41" s="6">
        <v>0.156</v>
      </c>
      <c r="Q41" s="6">
        <v>0.14499999999999999</v>
      </c>
      <c r="R41" s="6">
        <v>0.152</v>
      </c>
      <c r="S41" s="5">
        <v>0.16900000000000001</v>
      </c>
      <c r="T41" s="6">
        <v>0.153</v>
      </c>
      <c r="U41" s="5">
        <v>0.20100000000000001</v>
      </c>
      <c r="V41" s="5">
        <v>0.16300000000000001</v>
      </c>
      <c r="W41" s="5">
        <v>0.16200000000000001</v>
      </c>
      <c r="X41" s="5">
        <v>0.16800000000000001</v>
      </c>
      <c r="Y41" s="16">
        <v>0.53700000000000003</v>
      </c>
      <c r="Z41" s="5">
        <v>0.16400000000000001</v>
      </c>
      <c r="AA41" s="3">
        <v>0.33300000000000002</v>
      </c>
      <c r="AB41" s="7">
        <v>490</v>
      </c>
      <c r="AC41" s="54" t="s">
        <v>0</v>
      </c>
      <c r="AD41" s="6">
        <v>0.156</v>
      </c>
      <c r="AE41" s="6">
        <v>0.157</v>
      </c>
      <c r="AF41" s="6">
        <v>0.151</v>
      </c>
      <c r="AG41" s="5">
        <v>0.20100000000000001</v>
      </c>
      <c r="AH41" s="6">
        <v>0.156</v>
      </c>
      <c r="AI41" s="5">
        <v>0.20399999999999999</v>
      </c>
      <c r="AJ41" s="6">
        <v>0.156</v>
      </c>
      <c r="AK41" s="5">
        <v>0.189</v>
      </c>
      <c r="AL41" s="5">
        <v>0.2</v>
      </c>
      <c r="AM41" s="22">
        <v>0.51100000000000001</v>
      </c>
      <c r="AN41" s="6">
        <v>0.16400000000000001</v>
      </c>
      <c r="AO41" s="3">
        <v>0.33800000000000002</v>
      </c>
      <c r="AP41" s="7">
        <v>490</v>
      </c>
    </row>
    <row r="42" spans="1:42">
      <c r="A42" s="55"/>
      <c r="B42" s="21">
        <v>0.112</v>
      </c>
      <c r="C42" s="21">
        <v>0.11700000000000001</v>
      </c>
      <c r="D42" s="21">
        <v>0.127</v>
      </c>
      <c r="E42" s="21">
        <v>0.13300000000000001</v>
      </c>
      <c r="F42" s="21">
        <v>0.107</v>
      </c>
      <c r="G42" s="21">
        <v>0.13</v>
      </c>
      <c r="H42" s="14">
        <v>9.4E-2</v>
      </c>
      <c r="I42" s="21">
        <v>0.10299999999999999</v>
      </c>
      <c r="J42" s="21">
        <v>0.11600000000000001</v>
      </c>
      <c r="K42" s="12">
        <v>0.33</v>
      </c>
      <c r="L42" s="21">
        <v>0.113</v>
      </c>
      <c r="M42" s="29">
        <v>0.19700000000000001</v>
      </c>
      <c r="N42" s="7">
        <v>750</v>
      </c>
      <c r="O42" s="55"/>
      <c r="P42" s="21">
        <v>0.109</v>
      </c>
      <c r="Q42" s="21">
        <v>0.10100000000000001</v>
      </c>
      <c r="R42" s="21">
        <v>0.109</v>
      </c>
      <c r="S42" s="28">
        <v>0.12</v>
      </c>
      <c r="T42" s="21">
        <v>0.112</v>
      </c>
      <c r="U42" s="28">
        <v>0.13100000000000001</v>
      </c>
      <c r="V42" s="21">
        <v>0.114</v>
      </c>
      <c r="W42" s="21">
        <v>0.107</v>
      </c>
      <c r="X42" s="28">
        <v>0.12</v>
      </c>
      <c r="Y42" s="18">
        <v>0.316</v>
      </c>
      <c r="Z42" s="21">
        <v>0.115</v>
      </c>
      <c r="AA42" s="13">
        <v>0.189</v>
      </c>
      <c r="AB42" s="7">
        <v>750</v>
      </c>
      <c r="AC42" s="55"/>
      <c r="AD42" s="21">
        <v>0.109</v>
      </c>
      <c r="AE42" s="21">
        <v>0.108</v>
      </c>
      <c r="AF42" s="21">
        <v>0.109</v>
      </c>
      <c r="AG42" s="28">
        <v>0.13600000000000001</v>
      </c>
      <c r="AH42" s="21">
        <v>0.112</v>
      </c>
      <c r="AI42" s="28">
        <v>0.13300000000000001</v>
      </c>
      <c r="AJ42" s="21">
        <v>0.107</v>
      </c>
      <c r="AK42" s="21">
        <v>0.123</v>
      </c>
      <c r="AL42" s="28">
        <v>0.13100000000000001</v>
      </c>
      <c r="AM42" s="12">
        <v>0.29799999999999999</v>
      </c>
      <c r="AN42" s="21">
        <v>0.115</v>
      </c>
      <c r="AO42" s="13">
        <v>0.192</v>
      </c>
      <c r="AP42" s="7">
        <v>750</v>
      </c>
    </row>
    <row r="43" spans="1:42">
      <c r="A43" s="54" t="s">
        <v>1</v>
      </c>
      <c r="B43" s="6">
        <v>0.158</v>
      </c>
      <c r="C43" s="6">
        <v>0.14199999999999999</v>
      </c>
      <c r="D43" s="5">
        <v>0.19900000000000001</v>
      </c>
      <c r="E43" s="3">
        <v>0.32100000000000001</v>
      </c>
      <c r="F43" s="20">
        <v>0.42499999999999999</v>
      </c>
      <c r="G43" s="15">
        <v>0.6</v>
      </c>
      <c r="H43" s="22">
        <v>0.48899999999999999</v>
      </c>
      <c r="I43" s="5">
        <v>0.17100000000000001</v>
      </c>
      <c r="J43" s="3">
        <v>0.32</v>
      </c>
      <c r="K43" s="23">
        <v>0.7</v>
      </c>
      <c r="L43" s="5">
        <v>0.20599999999999999</v>
      </c>
      <c r="M43" s="6">
        <v>0.14099999999999999</v>
      </c>
      <c r="N43" s="7">
        <v>490</v>
      </c>
      <c r="O43" s="54" t="s">
        <v>1</v>
      </c>
      <c r="P43" s="5">
        <v>0.158</v>
      </c>
      <c r="Q43" s="6">
        <v>0.13600000000000001</v>
      </c>
      <c r="R43" s="5">
        <v>0.20599999999999999</v>
      </c>
      <c r="S43" s="3">
        <v>0.29899999999999999</v>
      </c>
      <c r="T43" s="22">
        <v>0.438</v>
      </c>
      <c r="U43" s="16">
        <v>0.505</v>
      </c>
      <c r="V43" s="22">
        <v>0.48699999999999999</v>
      </c>
      <c r="W43" s="5">
        <v>0.17599999999999999</v>
      </c>
      <c r="X43" s="3">
        <v>0.34499999999999997</v>
      </c>
      <c r="Y43" s="16">
        <v>0.52700000000000002</v>
      </c>
      <c r="Z43" s="4">
        <v>0.29199999999999998</v>
      </c>
      <c r="AA43" s="6">
        <v>0.14099999999999999</v>
      </c>
      <c r="AB43" s="7">
        <v>490</v>
      </c>
      <c r="AC43" s="54" t="s">
        <v>1</v>
      </c>
      <c r="AD43" s="6">
        <v>0.16</v>
      </c>
      <c r="AE43" s="6">
        <v>0.14199999999999999</v>
      </c>
      <c r="AF43" s="5">
        <v>0.188</v>
      </c>
      <c r="AG43" s="4">
        <v>0.311</v>
      </c>
      <c r="AH43" s="3">
        <v>0.35799999999999998</v>
      </c>
      <c r="AI43" s="22">
        <v>0.52200000000000002</v>
      </c>
      <c r="AJ43" s="22">
        <v>0.497</v>
      </c>
      <c r="AK43" s="5">
        <v>0.20499999999999999</v>
      </c>
      <c r="AL43" s="4">
        <v>0.27200000000000002</v>
      </c>
      <c r="AM43" s="16">
        <v>0.58499999999999996</v>
      </c>
      <c r="AN43" s="5">
        <v>0.193</v>
      </c>
      <c r="AO43" s="6">
        <v>0.14199999999999999</v>
      </c>
      <c r="AP43" s="7">
        <v>490</v>
      </c>
    </row>
    <row r="44" spans="1:42">
      <c r="A44" s="55"/>
      <c r="B44" s="21">
        <v>0.111</v>
      </c>
      <c r="C44" s="14">
        <v>0.1</v>
      </c>
      <c r="D44" s="21">
        <v>0.122</v>
      </c>
      <c r="E44" s="13">
        <v>0.20699999999999999</v>
      </c>
      <c r="F44" s="21">
        <v>0.13200000000000001</v>
      </c>
      <c r="G44" s="11">
        <v>0.29299999999999998</v>
      </c>
      <c r="H44" s="12">
        <v>0.317</v>
      </c>
      <c r="I44" s="21">
        <v>0.11799999999999999</v>
      </c>
      <c r="J44" s="21">
        <v>0.113</v>
      </c>
      <c r="K44" s="9">
        <v>0.42399999999999999</v>
      </c>
      <c r="L44" s="28">
        <v>0.13900000000000001</v>
      </c>
      <c r="M44" s="14">
        <v>9.2999999999999999E-2</v>
      </c>
      <c r="N44" s="7">
        <v>750</v>
      </c>
      <c r="O44" s="55"/>
      <c r="P44" s="21">
        <v>0.111</v>
      </c>
      <c r="Q44" s="21">
        <v>9.8000000000000004E-2</v>
      </c>
      <c r="R44" s="28">
        <v>0.126</v>
      </c>
      <c r="S44" s="17">
        <v>0.21099999999999999</v>
      </c>
      <c r="T44" s="28">
        <v>0.13300000000000001</v>
      </c>
      <c r="U44" s="11">
        <v>0.253</v>
      </c>
      <c r="V44" s="18">
        <v>0.307</v>
      </c>
      <c r="W44" s="28">
        <v>0.12</v>
      </c>
      <c r="X44" s="28">
        <v>0.127</v>
      </c>
      <c r="Y44" s="18">
        <v>0.313</v>
      </c>
      <c r="Z44" s="29">
        <v>0.158</v>
      </c>
      <c r="AA44" s="21">
        <v>9.5000000000000001E-2</v>
      </c>
      <c r="AB44" s="7">
        <v>750</v>
      </c>
      <c r="AC44" s="55"/>
      <c r="AD44" s="21">
        <v>0.112</v>
      </c>
      <c r="AE44" s="21">
        <v>9.9000000000000005E-2</v>
      </c>
      <c r="AF44" s="21">
        <v>0.123</v>
      </c>
      <c r="AG44" s="13">
        <v>0.218</v>
      </c>
      <c r="AH44" s="28">
        <v>0.13</v>
      </c>
      <c r="AI44" s="17">
        <v>0.25</v>
      </c>
      <c r="AJ44" s="18">
        <v>0.32700000000000001</v>
      </c>
      <c r="AK44" s="21">
        <v>0.124</v>
      </c>
      <c r="AL44" s="21">
        <v>0.10299999999999999</v>
      </c>
      <c r="AM44" s="10">
        <v>0.35199999999999998</v>
      </c>
      <c r="AN44" s="28">
        <v>0.13500000000000001</v>
      </c>
      <c r="AO44" s="21">
        <v>9.6000000000000002E-2</v>
      </c>
      <c r="AP44" s="7">
        <v>750</v>
      </c>
    </row>
    <row r="45" spans="1:42">
      <c r="A45" s="54" t="s">
        <v>2</v>
      </c>
      <c r="B45" s="6">
        <v>0.16800000000000001</v>
      </c>
      <c r="C45" s="6">
        <v>0.14199999999999999</v>
      </c>
      <c r="D45" s="6">
        <v>0.158</v>
      </c>
      <c r="E45" s="15">
        <v>0.59099999999999997</v>
      </c>
      <c r="F45" s="5">
        <v>0.23599999999999999</v>
      </c>
      <c r="G45" s="5">
        <v>0.192</v>
      </c>
      <c r="H45" s="6">
        <v>0.16600000000000001</v>
      </c>
      <c r="I45" s="5">
        <v>0.222</v>
      </c>
      <c r="J45" s="6">
        <v>0.16600000000000001</v>
      </c>
      <c r="K45" s="5">
        <v>0.17299999999999999</v>
      </c>
      <c r="L45" s="6">
        <v>0.159</v>
      </c>
      <c r="M45" s="27">
        <v>0.94899999999999995</v>
      </c>
      <c r="N45" s="7">
        <v>490</v>
      </c>
      <c r="O45" s="54" t="s">
        <v>2</v>
      </c>
      <c r="P45" s="5">
        <v>0.16700000000000001</v>
      </c>
      <c r="Q45" s="6">
        <v>0.14799999999999999</v>
      </c>
      <c r="R45" s="5">
        <v>0.189</v>
      </c>
      <c r="S45" s="23">
        <v>0.63800000000000001</v>
      </c>
      <c r="T45" s="4">
        <v>0.27100000000000002</v>
      </c>
      <c r="U45" s="5">
        <v>0.16700000000000001</v>
      </c>
      <c r="V45" s="5">
        <v>0.17100000000000001</v>
      </c>
      <c r="W45" s="5">
        <v>0.22600000000000001</v>
      </c>
      <c r="X45" s="5">
        <v>0.16800000000000001</v>
      </c>
      <c r="Y45" s="6">
        <v>0.154</v>
      </c>
      <c r="Z45" s="5">
        <v>0.16600000000000001</v>
      </c>
      <c r="AA45" s="32">
        <v>0.876</v>
      </c>
      <c r="AB45" s="7">
        <v>490</v>
      </c>
      <c r="AC45" s="54" t="s">
        <v>2</v>
      </c>
      <c r="AD45" s="6">
        <v>0.155</v>
      </c>
      <c r="AE45" s="6">
        <v>0.15</v>
      </c>
      <c r="AF45" s="6">
        <v>0.157</v>
      </c>
      <c r="AG45" s="16">
        <v>0.59099999999999997</v>
      </c>
      <c r="AH45" s="3">
        <v>0.39</v>
      </c>
      <c r="AI45" s="6">
        <v>0.16</v>
      </c>
      <c r="AJ45" s="6">
        <v>0.16800000000000001</v>
      </c>
      <c r="AK45" s="5">
        <v>0.19400000000000001</v>
      </c>
      <c r="AL45" s="6">
        <v>0.16400000000000001</v>
      </c>
      <c r="AM45" s="5">
        <v>0.188</v>
      </c>
      <c r="AN45" s="6">
        <v>0.158</v>
      </c>
      <c r="AO45" s="30">
        <v>0.89900000000000002</v>
      </c>
      <c r="AP45" s="7">
        <v>490</v>
      </c>
    </row>
    <row r="46" spans="1:42">
      <c r="A46" s="55"/>
      <c r="B46" s="21">
        <v>0.114</v>
      </c>
      <c r="C46" s="14">
        <v>0.1</v>
      </c>
      <c r="D46" s="21">
        <v>0.112</v>
      </c>
      <c r="E46" s="18">
        <v>0.33500000000000002</v>
      </c>
      <c r="F46" s="28">
        <v>0.16300000000000001</v>
      </c>
      <c r="G46" s="21">
        <v>0.127</v>
      </c>
      <c r="H46" s="21">
        <v>0.11799999999999999</v>
      </c>
      <c r="I46" s="21">
        <v>0.115</v>
      </c>
      <c r="J46" s="21">
        <v>0.11899999999999999</v>
      </c>
      <c r="K46" s="21">
        <v>0.11899999999999999</v>
      </c>
      <c r="L46" s="21">
        <v>0.115</v>
      </c>
      <c r="M46" s="26">
        <v>0.53100000000000003</v>
      </c>
      <c r="N46" s="7">
        <v>750</v>
      </c>
      <c r="O46" s="55"/>
      <c r="P46" s="21">
        <v>0.113</v>
      </c>
      <c r="Q46" s="21">
        <v>0.10299999999999999</v>
      </c>
      <c r="R46" s="28">
        <v>0.125</v>
      </c>
      <c r="S46" s="18">
        <v>0.315</v>
      </c>
      <c r="T46" s="13">
        <v>0.185</v>
      </c>
      <c r="U46" s="21">
        <v>0.11799999999999999</v>
      </c>
      <c r="V46" s="28">
        <v>0.121</v>
      </c>
      <c r="W46" s="28">
        <v>0.11899999999999999</v>
      </c>
      <c r="X46" s="28">
        <v>0.121</v>
      </c>
      <c r="Y46" s="21">
        <v>0.112</v>
      </c>
      <c r="Z46" s="28">
        <v>0.121</v>
      </c>
      <c r="AA46" s="26">
        <v>0.47199999999999998</v>
      </c>
      <c r="AB46" s="7">
        <v>750</v>
      </c>
      <c r="AC46" s="55"/>
      <c r="AD46" s="21">
        <v>0.105</v>
      </c>
      <c r="AE46" s="21">
        <v>0.105</v>
      </c>
      <c r="AF46" s="21">
        <v>0.111</v>
      </c>
      <c r="AG46" s="18">
        <v>0.33400000000000002</v>
      </c>
      <c r="AH46" s="11">
        <v>0.26400000000000001</v>
      </c>
      <c r="AI46" s="21">
        <v>0.114</v>
      </c>
      <c r="AJ46" s="21">
        <v>0.11799999999999999</v>
      </c>
      <c r="AK46" s="21">
        <v>0.114</v>
      </c>
      <c r="AL46" s="21">
        <v>0.11700000000000001</v>
      </c>
      <c r="AM46" s="21">
        <v>0.124</v>
      </c>
      <c r="AN46" s="21">
        <v>0.115</v>
      </c>
      <c r="AO46" s="26">
        <v>0.50600000000000001</v>
      </c>
      <c r="AP46" s="7">
        <v>750</v>
      </c>
    </row>
    <row r="47" spans="1:42">
      <c r="A47" s="54" t="s">
        <v>3</v>
      </c>
      <c r="B47" s="4">
        <v>0.246</v>
      </c>
      <c r="C47" s="6">
        <v>0.14699999999999999</v>
      </c>
      <c r="D47" s="6">
        <v>0.152</v>
      </c>
      <c r="E47" s="6">
        <v>0.14599999999999999</v>
      </c>
      <c r="F47" s="6">
        <v>0.151</v>
      </c>
      <c r="G47" s="4">
        <v>0.28000000000000003</v>
      </c>
      <c r="H47" s="16">
        <v>0.56799999999999995</v>
      </c>
      <c r="I47" s="15">
        <v>0.58799999999999997</v>
      </c>
      <c r="J47" s="6">
        <v>0.14599999999999999</v>
      </c>
      <c r="K47" s="27">
        <v>0.94199999999999995</v>
      </c>
      <c r="L47" s="6">
        <v>0.14699999999999999</v>
      </c>
      <c r="M47" s="6">
        <v>0.153</v>
      </c>
      <c r="N47" s="7">
        <v>490</v>
      </c>
      <c r="O47" s="54" t="s">
        <v>3</v>
      </c>
      <c r="P47" s="5">
        <v>0.161</v>
      </c>
      <c r="Q47" s="6">
        <v>0.15</v>
      </c>
      <c r="R47" s="5">
        <v>0.16300000000000001</v>
      </c>
      <c r="S47" s="6">
        <v>0.14799999999999999</v>
      </c>
      <c r="T47" s="5">
        <v>0.191</v>
      </c>
      <c r="U47" s="4">
        <v>0.28499999999999998</v>
      </c>
      <c r="V47" s="23">
        <v>0.66200000000000003</v>
      </c>
      <c r="W47" s="16">
        <v>0.55100000000000005</v>
      </c>
      <c r="X47" s="6">
        <v>0.14299999999999999</v>
      </c>
      <c r="Y47" s="5">
        <v>0.16500000000000001</v>
      </c>
      <c r="Z47" s="6">
        <v>0.15</v>
      </c>
      <c r="AA47" s="6">
        <v>0.14799999999999999</v>
      </c>
      <c r="AB47" s="7">
        <v>490</v>
      </c>
      <c r="AC47" s="54" t="s">
        <v>3</v>
      </c>
      <c r="AD47" s="6">
        <v>0.159</v>
      </c>
      <c r="AE47" s="6">
        <v>0.151</v>
      </c>
      <c r="AF47" s="5">
        <v>0.20799999999999999</v>
      </c>
      <c r="AG47" s="6">
        <v>0.13600000000000001</v>
      </c>
      <c r="AH47" s="6">
        <v>0.16300000000000001</v>
      </c>
      <c r="AI47" s="4">
        <v>0.317</v>
      </c>
      <c r="AJ47" s="16">
        <v>0.58699999999999997</v>
      </c>
      <c r="AK47" s="22">
        <v>0.52400000000000002</v>
      </c>
      <c r="AL47" s="5">
        <v>0.186</v>
      </c>
      <c r="AM47" s="6">
        <v>0.16300000000000001</v>
      </c>
      <c r="AN47" s="6">
        <v>0.14599999999999999</v>
      </c>
      <c r="AO47" s="6">
        <v>0.15</v>
      </c>
      <c r="AP47" s="7">
        <v>490</v>
      </c>
    </row>
    <row r="48" spans="1:42">
      <c r="A48" s="55"/>
      <c r="B48" s="28">
        <v>0.14399999999999999</v>
      </c>
      <c r="C48" s="21">
        <v>0.107</v>
      </c>
      <c r="D48" s="21">
        <v>0.109</v>
      </c>
      <c r="E48" s="14">
        <v>8.5999999999999993E-2</v>
      </c>
      <c r="F48" s="21">
        <v>0.109</v>
      </c>
      <c r="G48" s="28">
        <v>0.15</v>
      </c>
      <c r="H48" s="17">
        <v>0.24399999999999999</v>
      </c>
      <c r="I48" s="11">
        <v>0.28699999999999998</v>
      </c>
      <c r="J48" s="21">
        <v>0.10199999999999999</v>
      </c>
      <c r="K48" s="12">
        <v>0.32300000000000001</v>
      </c>
      <c r="L48" s="21">
        <v>0.105</v>
      </c>
      <c r="M48" s="21">
        <v>0.108</v>
      </c>
      <c r="N48" s="7">
        <v>750</v>
      </c>
      <c r="O48" s="55"/>
      <c r="P48" s="21">
        <v>0.113</v>
      </c>
      <c r="Q48" s="21">
        <v>0.107</v>
      </c>
      <c r="R48" s="21">
        <v>0.114</v>
      </c>
      <c r="S48" s="14">
        <v>8.5000000000000006E-2</v>
      </c>
      <c r="T48" s="28">
        <v>0.128</v>
      </c>
      <c r="U48" s="29">
        <v>0.152</v>
      </c>
      <c r="V48" s="12">
        <v>0.26700000000000002</v>
      </c>
      <c r="W48" s="18">
        <v>0.32300000000000001</v>
      </c>
      <c r="X48" s="21">
        <v>0.1</v>
      </c>
      <c r="Y48" s="28">
        <v>0.12</v>
      </c>
      <c r="Z48" s="21">
        <v>0.107</v>
      </c>
      <c r="AA48" s="21">
        <v>0.104</v>
      </c>
      <c r="AB48" s="7">
        <v>750</v>
      </c>
      <c r="AC48" s="55"/>
      <c r="AD48" s="21">
        <v>0.111</v>
      </c>
      <c r="AE48" s="21">
        <v>0.106</v>
      </c>
      <c r="AF48" s="28">
        <v>0.13300000000000001</v>
      </c>
      <c r="AG48" s="14">
        <v>8.2000000000000003E-2</v>
      </c>
      <c r="AH48" s="21">
        <v>0.11600000000000001</v>
      </c>
      <c r="AI48" s="28">
        <v>0.14899999999999999</v>
      </c>
      <c r="AJ48" s="17">
        <v>0.23300000000000001</v>
      </c>
      <c r="AK48" s="12">
        <v>0.29799999999999999</v>
      </c>
      <c r="AL48" s="28">
        <v>0.13200000000000001</v>
      </c>
      <c r="AM48" s="21">
        <v>0.11700000000000001</v>
      </c>
      <c r="AN48" s="21">
        <v>0.106</v>
      </c>
      <c r="AO48" s="21">
        <v>0.106</v>
      </c>
      <c r="AP48" s="7">
        <v>750</v>
      </c>
    </row>
    <row r="49" spans="1:42">
      <c r="A49" s="54" t="s">
        <v>4</v>
      </c>
      <c r="B49" s="6">
        <v>0.1</v>
      </c>
      <c r="C49" s="6">
        <v>0.13300000000000001</v>
      </c>
      <c r="D49" s="6">
        <v>0.14899999999999999</v>
      </c>
      <c r="E49" s="3">
        <v>0.33200000000000002</v>
      </c>
      <c r="F49" s="20">
        <v>0.41499999999999998</v>
      </c>
      <c r="G49" s="6">
        <v>0.16200000000000001</v>
      </c>
      <c r="H49" s="6">
        <v>0.16</v>
      </c>
      <c r="I49" s="6">
        <v>0.16300000000000001</v>
      </c>
      <c r="J49" s="3">
        <v>0.35299999999999998</v>
      </c>
      <c r="K49" s="6">
        <v>0.154</v>
      </c>
      <c r="L49" s="6">
        <v>0.14399999999999999</v>
      </c>
      <c r="M49" s="20">
        <v>0.38100000000000001</v>
      </c>
      <c r="N49" s="7">
        <v>490</v>
      </c>
      <c r="O49" s="54" t="s">
        <v>4</v>
      </c>
      <c r="P49" s="6">
        <v>8.8999999999999996E-2</v>
      </c>
      <c r="Q49" s="6">
        <v>0.13</v>
      </c>
      <c r="R49" s="6">
        <v>0.153</v>
      </c>
      <c r="S49" s="4">
        <v>0.28399999999999997</v>
      </c>
      <c r="T49" s="22">
        <v>0.442</v>
      </c>
      <c r="U49" s="5">
        <v>0.16200000000000001</v>
      </c>
      <c r="V49" s="5">
        <v>0.16800000000000001</v>
      </c>
      <c r="W49" s="5">
        <v>0.16400000000000001</v>
      </c>
      <c r="X49" s="4">
        <v>0.26</v>
      </c>
      <c r="Y49" s="5">
        <v>0.16300000000000001</v>
      </c>
      <c r="Z49" s="5">
        <v>0.191</v>
      </c>
      <c r="AA49" s="20">
        <v>0.39900000000000002</v>
      </c>
      <c r="AB49" s="7">
        <v>490</v>
      </c>
      <c r="AC49" s="54" t="s">
        <v>4</v>
      </c>
      <c r="AD49" s="6">
        <v>9.0999999999999998E-2</v>
      </c>
      <c r="AE49" s="6">
        <v>0.13600000000000001</v>
      </c>
      <c r="AF49" s="4">
        <v>0.311</v>
      </c>
      <c r="AG49" s="4">
        <v>0.30299999999999999</v>
      </c>
      <c r="AH49" s="20">
        <v>0.41199999999999998</v>
      </c>
      <c r="AI49" s="6">
        <v>0.158</v>
      </c>
      <c r="AJ49" s="6">
        <v>0.16500000000000001</v>
      </c>
      <c r="AK49" s="22">
        <v>0.52500000000000002</v>
      </c>
      <c r="AL49" s="4">
        <v>0.26600000000000001</v>
      </c>
      <c r="AM49" s="6">
        <v>0.151</v>
      </c>
      <c r="AN49" s="6">
        <v>0.14099999999999999</v>
      </c>
      <c r="AO49" s="3">
        <v>0.36099999999999999</v>
      </c>
      <c r="AP49" s="7">
        <v>490</v>
      </c>
    </row>
    <row r="50" spans="1:42">
      <c r="A50" s="55"/>
      <c r="B50" s="14">
        <v>6.8000000000000005E-2</v>
      </c>
      <c r="C50" s="14">
        <v>9.5000000000000001E-2</v>
      </c>
      <c r="D50" s="21">
        <v>0.109</v>
      </c>
      <c r="E50" s="17">
        <v>0.248</v>
      </c>
      <c r="F50" s="14">
        <v>9.5000000000000001E-2</v>
      </c>
      <c r="G50" s="21">
        <v>0.114</v>
      </c>
      <c r="H50" s="21">
        <v>0.113</v>
      </c>
      <c r="I50" s="21">
        <v>0.114</v>
      </c>
      <c r="J50" s="28">
        <v>0.16600000000000001</v>
      </c>
      <c r="K50" s="21">
        <v>0.107</v>
      </c>
      <c r="L50" s="21">
        <v>0.106</v>
      </c>
      <c r="M50" s="21">
        <v>0.11700000000000001</v>
      </c>
      <c r="N50" s="7">
        <v>750</v>
      </c>
      <c r="O50" s="55"/>
      <c r="P50" s="14">
        <v>0.06</v>
      </c>
      <c r="Q50" s="21">
        <v>9.1999999999999998E-2</v>
      </c>
      <c r="R50" s="21">
        <v>0.112</v>
      </c>
      <c r="S50" s="17">
        <v>0.21</v>
      </c>
      <c r="T50" s="21">
        <v>0.1</v>
      </c>
      <c r="U50" s="21">
        <v>0.114</v>
      </c>
      <c r="V50" s="21">
        <v>0.11700000000000001</v>
      </c>
      <c r="W50" s="21">
        <v>0.11799999999999999</v>
      </c>
      <c r="X50" s="28">
        <v>0.13500000000000001</v>
      </c>
      <c r="Y50" s="21">
        <v>0.11600000000000001</v>
      </c>
      <c r="Z50" s="28">
        <v>0.125</v>
      </c>
      <c r="AA50" s="28">
        <v>0.11899999999999999</v>
      </c>
      <c r="AB50" s="7">
        <v>750</v>
      </c>
      <c r="AC50" s="55"/>
      <c r="AD50" s="14">
        <v>6.2E-2</v>
      </c>
      <c r="AE50" s="21">
        <v>9.5000000000000001E-2</v>
      </c>
      <c r="AF50" s="29">
        <v>0.158</v>
      </c>
      <c r="AG50" s="13">
        <v>0.21099999999999999</v>
      </c>
      <c r="AH50" s="21">
        <v>9.8000000000000004E-2</v>
      </c>
      <c r="AI50" s="21">
        <v>0.111</v>
      </c>
      <c r="AJ50" s="21">
        <v>0.114</v>
      </c>
      <c r="AK50" s="13">
        <v>0.217</v>
      </c>
      <c r="AL50" s="28">
        <v>0.15</v>
      </c>
      <c r="AM50" s="21">
        <v>0.10299999999999999</v>
      </c>
      <c r="AN50" s="21">
        <v>0.10199999999999999</v>
      </c>
      <c r="AO50" s="21">
        <v>0.11700000000000001</v>
      </c>
      <c r="AP50" s="7">
        <v>750</v>
      </c>
    </row>
    <row r="51" spans="1:42">
      <c r="A51" s="54" t="s">
        <v>5</v>
      </c>
      <c r="B51" s="6">
        <v>0.14499999999999999</v>
      </c>
      <c r="C51" s="6">
        <v>0.13900000000000001</v>
      </c>
      <c r="D51" s="5">
        <v>0.17</v>
      </c>
      <c r="E51" s="6">
        <v>0.158</v>
      </c>
      <c r="F51" s="4">
        <v>0.30199999999999999</v>
      </c>
      <c r="G51" s="6">
        <v>0.155</v>
      </c>
      <c r="H51" s="6">
        <v>0.14599999999999999</v>
      </c>
      <c r="I51" s="6">
        <v>0.16400000000000001</v>
      </c>
      <c r="J51" s="4">
        <v>0.26</v>
      </c>
      <c r="K51" s="6">
        <v>0.14799999999999999</v>
      </c>
      <c r="L51" s="6">
        <v>0.14699999999999999</v>
      </c>
      <c r="M51" s="23">
        <v>0.66600000000000004</v>
      </c>
      <c r="N51" s="7">
        <v>490</v>
      </c>
      <c r="O51" s="54" t="s">
        <v>5</v>
      </c>
      <c r="P51" s="3">
        <v>0.33800000000000002</v>
      </c>
      <c r="Q51" s="6">
        <v>0.14099999999999999</v>
      </c>
      <c r="R51" s="6">
        <v>0.151</v>
      </c>
      <c r="S51" s="6">
        <v>0.156</v>
      </c>
      <c r="T51" s="5">
        <v>0.21</v>
      </c>
      <c r="U51" s="6">
        <v>0.155</v>
      </c>
      <c r="V51" s="5">
        <v>0.16300000000000001</v>
      </c>
      <c r="W51" s="6">
        <v>0.155</v>
      </c>
      <c r="X51" s="4">
        <v>0.26600000000000001</v>
      </c>
      <c r="Y51" s="6">
        <v>0.15</v>
      </c>
      <c r="Z51" s="6">
        <v>0.155</v>
      </c>
      <c r="AA51" s="6">
        <v>0.14099999999999999</v>
      </c>
      <c r="AB51" s="7">
        <v>490</v>
      </c>
      <c r="AC51" s="54" t="s">
        <v>5</v>
      </c>
      <c r="AD51" s="6">
        <v>0.14099999999999999</v>
      </c>
      <c r="AE51" s="6">
        <v>0.14599999999999999</v>
      </c>
      <c r="AF51" s="5">
        <v>0.224</v>
      </c>
      <c r="AG51" s="6">
        <v>0.154</v>
      </c>
      <c r="AH51" s="5">
        <v>0.19500000000000001</v>
      </c>
      <c r="AI51" s="5">
        <v>0.185</v>
      </c>
      <c r="AJ51" s="5">
        <v>0.191</v>
      </c>
      <c r="AK51" s="6">
        <v>0.14399999999999999</v>
      </c>
      <c r="AL51" s="4">
        <v>0.26500000000000001</v>
      </c>
      <c r="AM51" s="4">
        <v>0.28599999999999998</v>
      </c>
      <c r="AN51" s="6">
        <v>0.14099999999999999</v>
      </c>
      <c r="AO51" s="6">
        <v>0.14699999999999999</v>
      </c>
      <c r="AP51" s="7">
        <v>490</v>
      </c>
    </row>
    <row r="52" spans="1:42">
      <c r="A52" s="55"/>
      <c r="B52" s="21">
        <v>0.10299999999999999</v>
      </c>
      <c r="C52" s="14">
        <v>0.1</v>
      </c>
      <c r="D52" s="21">
        <v>0.115</v>
      </c>
      <c r="E52" s="21">
        <v>0.11700000000000001</v>
      </c>
      <c r="F52" s="28">
        <v>0.152</v>
      </c>
      <c r="G52" s="21">
        <v>0.11</v>
      </c>
      <c r="H52" s="21">
        <v>0.106</v>
      </c>
      <c r="I52" s="21">
        <v>0.11600000000000001</v>
      </c>
      <c r="J52" s="14">
        <v>0.1</v>
      </c>
      <c r="K52" s="21">
        <v>0.105</v>
      </c>
      <c r="L52" s="21">
        <v>0.108</v>
      </c>
      <c r="M52" s="13">
        <v>0.23</v>
      </c>
      <c r="N52" s="7">
        <v>750</v>
      </c>
      <c r="O52" s="55"/>
      <c r="P52" s="29">
        <v>0.17299999999999999</v>
      </c>
      <c r="Q52" s="21">
        <v>0.10199999999999999</v>
      </c>
      <c r="R52" s="21">
        <v>0.11</v>
      </c>
      <c r="S52" s="21">
        <v>0.11600000000000001</v>
      </c>
      <c r="T52" s="21">
        <v>0.11</v>
      </c>
      <c r="U52" s="21">
        <v>0.112</v>
      </c>
      <c r="V52" s="21">
        <v>0.11600000000000001</v>
      </c>
      <c r="W52" s="21">
        <v>0.111</v>
      </c>
      <c r="X52" s="21">
        <v>0.109</v>
      </c>
      <c r="Y52" s="21">
        <v>0.109</v>
      </c>
      <c r="Z52" s="21">
        <v>0.112</v>
      </c>
      <c r="AA52" s="21">
        <v>0.1</v>
      </c>
      <c r="AB52" s="7">
        <v>750</v>
      </c>
      <c r="AC52" s="55"/>
      <c r="AD52" s="21">
        <v>0.1</v>
      </c>
      <c r="AE52" s="21">
        <v>0.105</v>
      </c>
      <c r="AF52" s="28">
        <v>0.13800000000000001</v>
      </c>
      <c r="AG52" s="21">
        <v>0.112</v>
      </c>
      <c r="AH52" s="21">
        <v>0.11</v>
      </c>
      <c r="AI52" s="21">
        <v>0.109</v>
      </c>
      <c r="AJ52" s="28">
        <v>0.126</v>
      </c>
      <c r="AK52" s="21">
        <v>0.10299999999999999</v>
      </c>
      <c r="AL52" s="21">
        <v>0.10299999999999999</v>
      </c>
      <c r="AM52" s="28">
        <v>0.156</v>
      </c>
      <c r="AN52" s="21">
        <v>0.10100000000000001</v>
      </c>
      <c r="AO52" s="21">
        <v>0.10299999999999999</v>
      </c>
      <c r="AP52" s="7">
        <v>750</v>
      </c>
    </row>
    <row r="53" spans="1:42">
      <c r="A53" s="54" t="s">
        <v>6</v>
      </c>
      <c r="B53" s="5">
        <v>0.185</v>
      </c>
      <c r="C53" s="3">
        <v>0.35199999999999998</v>
      </c>
      <c r="D53" s="4">
        <v>0.26600000000000001</v>
      </c>
      <c r="E53" s="4">
        <v>0.24299999999999999</v>
      </c>
      <c r="F53" s="6">
        <v>0.12</v>
      </c>
      <c r="G53" s="6">
        <v>0.152</v>
      </c>
      <c r="H53" s="6">
        <v>0.14199999999999999</v>
      </c>
      <c r="I53" s="6">
        <v>0.15</v>
      </c>
      <c r="J53" s="5">
        <v>0.183</v>
      </c>
      <c r="K53" s="4">
        <v>0.28499999999999998</v>
      </c>
      <c r="L53" s="6">
        <v>0.128</v>
      </c>
      <c r="M53" s="6">
        <v>0.14299999999999999</v>
      </c>
      <c r="N53" s="7">
        <v>490</v>
      </c>
      <c r="O53" s="54" t="s">
        <v>6</v>
      </c>
      <c r="P53" s="6">
        <v>0.14099999999999999</v>
      </c>
      <c r="Q53" s="6">
        <v>0.156</v>
      </c>
      <c r="R53" s="6">
        <v>0.15</v>
      </c>
      <c r="S53" s="4">
        <v>0.28499999999999998</v>
      </c>
      <c r="T53" s="6">
        <v>0.126</v>
      </c>
      <c r="U53" s="6">
        <v>0.151</v>
      </c>
      <c r="V53" s="6">
        <v>0.151</v>
      </c>
      <c r="W53" s="5">
        <v>0.19</v>
      </c>
      <c r="X53" s="5">
        <v>0.20399999999999999</v>
      </c>
      <c r="Y53" s="5">
        <v>0.19600000000000001</v>
      </c>
      <c r="Z53" s="5">
        <v>0.184</v>
      </c>
      <c r="AA53" s="6">
        <v>0.14499999999999999</v>
      </c>
      <c r="AB53" s="7">
        <v>490</v>
      </c>
      <c r="AC53" s="54" t="s">
        <v>6</v>
      </c>
      <c r="AD53" s="6">
        <v>0.14899999999999999</v>
      </c>
      <c r="AE53" s="5">
        <v>0.23599999999999999</v>
      </c>
      <c r="AF53" s="6">
        <v>0.14599999999999999</v>
      </c>
      <c r="AG53" s="4">
        <v>0.28000000000000003</v>
      </c>
      <c r="AH53" s="5">
        <v>0.20899999999999999</v>
      </c>
      <c r="AI53" s="6">
        <v>0.14299999999999999</v>
      </c>
      <c r="AJ53" s="6">
        <v>0.14099999999999999</v>
      </c>
      <c r="AK53" s="5">
        <v>0.20499999999999999</v>
      </c>
      <c r="AL53" s="5">
        <v>0.188</v>
      </c>
      <c r="AM53" s="5">
        <v>0.22700000000000001</v>
      </c>
      <c r="AN53" s="6">
        <v>0.124</v>
      </c>
      <c r="AO53" s="5">
        <v>0.188</v>
      </c>
      <c r="AP53" s="7">
        <v>490</v>
      </c>
    </row>
    <row r="54" spans="1:42">
      <c r="A54" s="55"/>
      <c r="B54" s="21">
        <v>0.11799999999999999</v>
      </c>
      <c r="C54" s="13">
        <v>0.20599999999999999</v>
      </c>
      <c r="D54" s="28">
        <v>0.152</v>
      </c>
      <c r="E54" s="29">
        <v>0.17100000000000001</v>
      </c>
      <c r="F54" s="14">
        <v>8.5999999999999993E-2</v>
      </c>
      <c r="G54" s="21">
        <v>0.107</v>
      </c>
      <c r="H54" s="14">
        <v>0.1</v>
      </c>
      <c r="I54" s="21">
        <v>0.106</v>
      </c>
      <c r="J54" s="21">
        <v>0.115</v>
      </c>
      <c r="K54" s="28">
        <v>0.16</v>
      </c>
      <c r="L54" s="14">
        <v>8.6999999999999994E-2</v>
      </c>
      <c r="M54" s="14">
        <v>9.8000000000000004E-2</v>
      </c>
      <c r="N54" s="7">
        <v>750</v>
      </c>
      <c r="O54" s="55"/>
      <c r="P54" s="21">
        <v>9.9000000000000005E-2</v>
      </c>
      <c r="Q54" s="21">
        <v>0.115</v>
      </c>
      <c r="R54" s="21">
        <v>0.112</v>
      </c>
      <c r="S54" s="13">
        <v>0.20599999999999999</v>
      </c>
      <c r="T54" s="14">
        <v>8.8999999999999996E-2</v>
      </c>
      <c r="U54" s="21">
        <v>0.105</v>
      </c>
      <c r="V54" s="21">
        <v>0.108</v>
      </c>
      <c r="W54" s="28">
        <v>0.122</v>
      </c>
      <c r="X54" s="28">
        <v>0.121</v>
      </c>
      <c r="Y54" s="28">
        <v>0.122</v>
      </c>
      <c r="Z54" s="21">
        <v>0.107</v>
      </c>
      <c r="AA54" s="21">
        <v>0.1</v>
      </c>
      <c r="AB54" s="7">
        <v>750</v>
      </c>
      <c r="AC54" s="55"/>
      <c r="AD54" s="21">
        <v>0.104</v>
      </c>
      <c r="AE54" s="28">
        <v>0.14399999999999999</v>
      </c>
      <c r="AF54" s="21">
        <v>0.107</v>
      </c>
      <c r="AG54" s="13">
        <v>0.192</v>
      </c>
      <c r="AH54" s="21">
        <v>0.11799999999999999</v>
      </c>
      <c r="AI54" s="21">
        <v>9.9000000000000005E-2</v>
      </c>
      <c r="AJ54" s="21">
        <v>9.7000000000000003E-2</v>
      </c>
      <c r="AK54" s="28">
        <v>0.126</v>
      </c>
      <c r="AL54" s="21">
        <v>0.11899999999999999</v>
      </c>
      <c r="AM54" s="28">
        <v>0.13300000000000001</v>
      </c>
      <c r="AN54" s="14">
        <v>8.4000000000000005E-2</v>
      </c>
      <c r="AO54" s="21">
        <v>0.11600000000000001</v>
      </c>
      <c r="AP54" s="7">
        <v>750</v>
      </c>
    </row>
    <row r="55" spans="1:42">
      <c r="A55" s="54" t="s">
        <v>7</v>
      </c>
      <c r="B55" s="20">
        <v>0.39500000000000002</v>
      </c>
      <c r="C55" s="6">
        <v>0.11600000000000001</v>
      </c>
      <c r="D55" s="6">
        <v>0.155</v>
      </c>
      <c r="E55" s="6">
        <v>0.155</v>
      </c>
      <c r="F55" s="6">
        <v>0.14499999999999999</v>
      </c>
      <c r="G55" s="6">
        <v>0.154</v>
      </c>
      <c r="H55" s="6">
        <v>0.153</v>
      </c>
      <c r="I55" s="6">
        <v>0.16300000000000001</v>
      </c>
      <c r="J55" s="25">
        <v>1.0649999999999999</v>
      </c>
      <c r="K55" s="6">
        <v>0.15</v>
      </c>
      <c r="L55" s="5">
        <v>0.17</v>
      </c>
      <c r="M55" s="6">
        <v>0.16</v>
      </c>
      <c r="N55" s="7">
        <v>490</v>
      </c>
      <c r="O55" s="54" t="s">
        <v>7</v>
      </c>
      <c r="P55" s="3">
        <v>0.35699999999999998</v>
      </c>
      <c r="Q55" s="6">
        <v>0.13</v>
      </c>
      <c r="R55" s="6">
        <v>0.14799999999999999</v>
      </c>
      <c r="S55" s="6">
        <v>0.14899999999999999</v>
      </c>
      <c r="T55" s="6">
        <v>0.14499999999999999</v>
      </c>
      <c r="U55" s="6">
        <v>0.151</v>
      </c>
      <c r="V55" s="5">
        <v>0.218</v>
      </c>
      <c r="W55" s="6">
        <v>0.158</v>
      </c>
      <c r="X55" s="25">
        <v>1.0469999999999999</v>
      </c>
      <c r="Y55" s="5">
        <v>0.158</v>
      </c>
      <c r="Z55" s="5">
        <v>0.17899999999999999</v>
      </c>
      <c r="AA55" s="5">
        <v>0.16400000000000001</v>
      </c>
      <c r="AB55" s="7">
        <v>490</v>
      </c>
      <c r="AC55" s="54" t="s">
        <v>7</v>
      </c>
      <c r="AD55" s="3">
        <v>0.32900000000000001</v>
      </c>
      <c r="AE55" s="6">
        <v>0.128</v>
      </c>
      <c r="AF55" s="25">
        <v>1.1879999999999999</v>
      </c>
      <c r="AG55" s="6">
        <v>0.154</v>
      </c>
      <c r="AH55" s="6">
        <v>0.14199999999999999</v>
      </c>
      <c r="AI55" s="6">
        <v>0.14599999999999999</v>
      </c>
      <c r="AJ55" s="6">
        <v>0.151</v>
      </c>
      <c r="AK55" s="5">
        <v>0.216</v>
      </c>
      <c r="AL55" s="27">
        <v>1.101</v>
      </c>
      <c r="AM55" s="5">
        <v>0.20499999999999999</v>
      </c>
      <c r="AN55" s="6">
        <v>0.16200000000000001</v>
      </c>
      <c r="AO55" s="6">
        <v>0.153</v>
      </c>
      <c r="AP55" s="7">
        <v>490</v>
      </c>
    </row>
    <row r="56" spans="1:42">
      <c r="A56" s="55"/>
      <c r="B56" s="17">
        <v>0.24099999999999999</v>
      </c>
      <c r="C56" s="14">
        <v>8.1000000000000003E-2</v>
      </c>
      <c r="D56" s="21">
        <v>0.109</v>
      </c>
      <c r="E56" s="21">
        <v>0.107</v>
      </c>
      <c r="F56" s="21">
        <v>0.10199999999999999</v>
      </c>
      <c r="G56" s="21">
        <v>0.106</v>
      </c>
      <c r="H56" s="21">
        <v>0.105</v>
      </c>
      <c r="I56" s="21">
        <v>0.115</v>
      </c>
      <c r="J56" s="9">
        <v>0.40500000000000003</v>
      </c>
      <c r="K56" s="21">
        <v>0.106</v>
      </c>
      <c r="L56" s="14">
        <v>9.9000000000000005E-2</v>
      </c>
      <c r="M56" s="21">
        <v>0.112</v>
      </c>
      <c r="N56" s="7">
        <v>750</v>
      </c>
      <c r="O56" s="55"/>
      <c r="P56" s="17">
        <v>0.23699999999999999</v>
      </c>
      <c r="Q56" s="21">
        <v>0.09</v>
      </c>
      <c r="R56" s="21">
        <v>0.104</v>
      </c>
      <c r="S56" s="21">
        <v>0.106</v>
      </c>
      <c r="T56" s="21">
        <v>0.104</v>
      </c>
      <c r="U56" s="21">
        <v>0.105</v>
      </c>
      <c r="V56" s="28">
        <v>0.123</v>
      </c>
      <c r="W56" s="21">
        <v>0.112</v>
      </c>
      <c r="X56" s="9">
        <v>0.374</v>
      </c>
      <c r="Y56" s="21">
        <v>0.11</v>
      </c>
      <c r="Z56" s="21">
        <v>0.108</v>
      </c>
      <c r="AA56" s="21">
        <v>0.11600000000000001</v>
      </c>
      <c r="AB56" s="7">
        <v>750</v>
      </c>
      <c r="AC56" s="55"/>
      <c r="AD56" s="13">
        <v>0.219</v>
      </c>
      <c r="AE56" s="14">
        <v>8.7999999999999995E-2</v>
      </c>
      <c r="AF56" s="9">
        <v>0.40500000000000003</v>
      </c>
      <c r="AG56" s="21">
        <v>0.107</v>
      </c>
      <c r="AH56" s="21">
        <v>9.9000000000000005E-2</v>
      </c>
      <c r="AI56" s="21">
        <v>0.1</v>
      </c>
      <c r="AJ56" s="21">
        <v>0.10100000000000001</v>
      </c>
      <c r="AK56" s="28">
        <v>0.126</v>
      </c>
      <c r="AL56" s="8">
        <v>0.41599999999999998</v>
      </c>
      <c r="AM56" s="28">
        <v>0.128</v>
      </c>
      <c r="AN56" s="21">
        <v>9.6000000000000002E-2</v>
      </c>
      <c r="AO56" s="21">
        <v>0.107</v>
      </c>
      <c r="AP56" s="7">
        <v>750</v>
      </c>
    </row>
    <row r="58" spans="1:42">
      <c r="A58" t="s">
        <v>13</v>
      </c>
      <c r="B58" t="s">
        <v>15</v>
      </c>
      <c r="C58">
        <v>51</v>
      </c>
      <c r="O58" t="s">
        <v>13</v>
      </c>
      <c r="P58" t="s">
        <v>14</v>
      </c>
      <c r="Q58">
        <v>51</v>
      </c>
      <c r="AC58" t="s">
        <v>13</v>
      </c>
      <c r="AD58" t="s">
        <v>16</v>
      </c>
      <c r="AE58">
        <v>51</v>
      </c>
    </row>
    <row r="59" spans="1:42">
      <c r="A59" s="1"/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"/>
      <c r="P59" s="2">
        <v>1</v>
      </c>
      <c r="Q59" s="2">
        <v>2</v>
      </c>
      <c r="R59" s="2">
        <v>3</v>
      </c>
      <c r="S59" s="2">
        <v>4</v>
      </c>
      <c r="T59" s="2">
        <v>5</v>
      </c>
      <c r="U59" s="2">
        <v>6</v>
      </c>
      <c r="V59" s="2">
        <v>7</v>
      </c>
      <c r="W59" s="2">
        <v>8</v>
      </c>
      <c r="X59" s="2">
        <v>9</v>
      </c>
      <c r="Y59" s="2">
        <v>10</v>
      </c>
      <c r="Z59" s="2">
        <v>11</v>
      </c>
      <c r="AA59" s="2">
        <v>12</v>
      </c>
      <c r="AC59" s="1"/>
      <c r="AD59" s="2">
        <v>1</v>
      </c>
      <c r="AE59" s="2">
        <v>2</v>
      </c>
      <c r="AF59" s="2">
        <v>3</v>
      </c>
      <c r="AG59" s="2">
        <v>4</v>
      </c>
      <c r="AH59" s="2">
        <v>5</v>
      </c>
      <c r="AI59" s="2">
        <v>6</v>
      </c>
      <c r="AJ59" s="2">
        <v>7</v>
      </c>
      <c r="AK59" s="2">
        <v>8</v>
      </c>
      <c r="AL59" s="2">
        <v>9</v>
      </c>
      <c r="AM59" s="2">
        <v>10</v>
      </c>
      <c r="AN59" s="2">
        <v>11</v>
      </c>
      <c r="AO59" s="2">
        <v>12</v>
      </c>
    </row>
    <row r="60" spans="1:42">
      <c r="A60" s="54" t="s">
        <v>0</v>
      </c>
      <c r="B60" s="6">
        <v>0.157</v>
      </c>
      <c r="C60" s="6">
        <v>0.18099999999999999</v>
      </c>
      <c r="D60" s="5">
        <v>0.20300000000000001</v>
      </c>
      <c r="E60" s="5">
        <v>0.22700000000000001</v>
      </c>
      <c r="F60" s="6">
        <v>0.14499999999999999</v>
      </c>
      <c r="G60" s="5">
        <v>0.19900000000000001</v>
      </c>
      <c r="H60" s="6">
        <v>0.13400000000000001</v>
      </c>
      <c r="I60" s="6">
        <v>0.156</v>
      </c>
      <c r="J60" s="6">
        <v>0.16</v>
      </c>
      <c r="K60" s="22">
        <v>0.56799999999999995</v>
      </c>
      <c r="L60" s="6">
        <v>0.189</v>
      </c>
      <c r="M60" s="4">
        <v>0.34</v>
      </c>
      <c r="N60" s="7">
        <v>490</v>
      </c>
      <c r="O60" s="54" t="s">
        <v>0</v>
      </c>
      <c r="P60" s="6">
        <v>0.154</v>
      </c>
      <c r="Q60" s="6">
        <v>0.14299999999999999</v>
      </c>
      <c r="R60" s="6">
        <v>0.15</v>
      </c>
      <c r="S60" s="5">
        <v>0.16800000000000001</v>
      </c>
      <c r="T60" s="6">
        <v>0.151</v>
      </c>
      <c r="U60" s="5">
        <v>0.20200000000000001</v>
      </c>
      <c r="V60" s="6">
        <v>0.16200000000000001</v>
      </c>
      <c r="W60" s="6">
        <v>0.159</v>
      </c>
      <c r="X60" s="5">
        <v>0.16600000000000001</v>
      </c>
      <c r="Y60" s="16">
        <v>0.53900000000000003</v>
      </c>
      <c r="Z60" s="6">
        <v>0.16200000000000001</v>
      </c>
      <c r="AA60" s="3">
        <v>0.33</v>
      </c>
      <c r="AB60" s="7">
        <v>490</v>
      </c>
      <c r="AC60" s="54" t="s">
        <v>0</v>
      </c>
      <c r="AD60" s="6">
        <v>0.154</v>
      </c>
      <c r="AE60" s="6">
        <v>0.155</v>
      </c>
      <c r="AF60" s="6">
        <v>0.14899999999999999</v>
      </c>
      <c r="AG60" s="5">
        <v>0.20899999999999999</v>
      </c>
      <c r="AH60" s="6">
        <v>0.154</v>
      </c>
      <c r="AI60" s="6">
        <v>0.20200000000000001</v>
      </c>
      <c r="AJ60" s="6">
        <v>0.153</v>
      </c>
      <c r="AK60" s="5">
        <v>0.222</v>
      </c>
      <c r="AL60" s="5">
        <v>0.21299999999999999</v>
      </c>
      <c r="AM60" s="3">
        <v>0.51300000000000001</v>
      </c>
      <c r="AN60" s="6">
        <v>0.16200000000000001</v>
      </c>
      <c r="AO60" s="4">
        <v>0.34200000000000003</v>
      </c>
      <c r="AP60" s="7">
        <v>490</v>
      </c>
    </row>
    <row r="61" spans="1:42">
      <c r="A61" s="55"/>
      <c r="B61" s="21">
        <v>0.11</v>
      </c>
      <c r="C61" s="21">
        <v>0.11600000000000001</v>
      </c>
      <c r="D61" s="21">
        <v>0.129</v>
      </c>
      <c r="E61" s="28">
        <v>0.14000000000000001</v>
      </c>
      <c r="F61" s="14">
        <v>0.106</v>
      </c>
      <c r="G61" s="21">
        <v>0.128</v>
      </c>
      <c r="H61" s="14">
        <v>9.1999999999999998E-2</v>
      </c>
      <c r="I61" s="14">
        <v>0.10199999999999999</v>
      </c>
      <c r="J61" s="21">
        <v>0.115</v>
      </c>
      <c r="K61" s="12">
        <v>0.33600000000000002</v>
      </c>
      <c r="L61" s="21">
        <v>0.11899999999999999</v>
      </c>
      <c r="M61" s="29">
        <v>0.19400000000000001</v>
      </c>
      <c r="N61" s="7">
        <v>750</v>
      </c>
      <c r="O61" s="55"/>
      <c r="P61" s="21">
        <v>0.108</v>
      </c>
      <c r="Q61" s="21">
        <v>0.1</v>
      </c>
      <c r="R61" s="21">
        <v>0.108</v>
      </c>
      <c r="S61" s="21">
        <v>0.11799999999999999</v>
      </c>
      <c r="T61" s="21">
        <v>0.11</v>
      </c>
      <c r="U61" s="28">
        <v>0.13100000000000001</v>
      </c>
      <c r="V61" s="21">
        <v>0.113</v>
      </c>
      <c r="W61" s="21">
        <v>0.105</v>
      </c>
      <c r="X61" s="21">
        <v>0.11799999999999999</v>
      </c>
      <c r="Y61" s="18">
        <v>0.31900000000000001</v>
      </c>
      <c r="Z61" s="21">
        <v>0.112</v>
      </c>
      <c r="AA61" s="13">
        <v>0.186</v>
      </c>
      <c r="AB61" s="7">
        <v>750</v>
      </c>
      <c r="AC61" s="55"/>
      <c r="AD61" s="21">
        <v>0.107</v>
      </c>
      <c r="AE61" s="21">
        <v>0.107</v>
      </c>
      <c r="AF61" s="21">
        <v>0.107</v>
      </c>
      <c r="AG61" s="21">
        <v>0.13500000000000001</v>
      </c>
      <c r="AH61" s="21">
        <v>0.111</v>
      </c>
      <c r="AI61" s="21">
        <v>0.13</v>
      </c>
      <c r="AJ61" s="21">
        <v>0.105</v>
      </c>
      <c r="AK61" s="21">
        <v>0.13500000000000001</v>
      </c>
      <c r="AL61" s="21">
        <v>0.13600000000000001</v>
      </c>
      <c r="AM61" s="17">
        <v>0.30099999999999999</v>
      </c>
      <c r="AN61" s="21">
        <v>0.114</v>
      </c>
      <c r="AO61" s="29">
        <v>0.192</v>
      </c>
      <c r="AP61" s="7">
        <v>750</v>
      </c>
    </row>
    <row r="62" spans="1:42">
      <c r="A62" s="54" t="s">
        <v>1</v>
      </c>
      <c r="B62" s="6">
        <v>0.156</v>
      </c>
      <c r="C62" s="6">
        <v>0.14099999999999999</v>
      </c>
      <c r="D62" s="5">
        <v>0.20200000000000001</v>
      </c>
      <c r="E62" s="4">
        <v>0.33400000000000002</v>
      </c>
      <c r="F62" s="3">
        <v>0.42899999999999999</v>
      </c>
      <c r="G62" s="16">
        <v>0.63400000000000001</v>
      </c>
      <c r="H62" s="20">
        <v>0.499</v>
      </c>
      <c r="I62" s="6">
        <v>0.17299999999999999</v>
      </c>
      <c r="J62" s="4">
        <v>0.32500000000000001</v>
      </c>
      <c r="K62" s="15">
        <v>0.73299999999999998</v>
      </c>
      <c r="L62" s="5">
        <v>0.20599999999999999</v>
      </c>
      <c r="M62" s="6">
        <v>0.14000000000000001</v>
      </c>
      <c r="N62" s="7">
        <v>490</v>
      </c>
      <c r="O62" s="54" t="s">
        <v>1</v>
      </c>
      <c r="P62" s="6">
        <v>0.156</v>
      </c>
      <c r="Q62" s="6">
        <v>0.13500000000000001</v>
      </c>
      <c r="R62" s="5">
        <v>0.20899999999999999</v>
      </c>
      <c r="S62" s="3">
        <v>0.308</v>
      </c>
      <c r="T62" s="22">
        <v>0.443</v>
      </c>
      <c r="U62" s="16">
        <v>0.54400000000000004</v>
      </c>
      <c r="V62" s="16">
        <v>0.51200000000000001</v>
      </c>
      <c r="W62" s="5">
        <v>0.17499999999999999</v>
      </c>
      <c r="X62" s="3">
        <v>0.34899999999999998</v>
      </c>
      <c r="Y62" s="16">
        <v>0.56999999999999995</v>
      </c>
      <c r="Z62" s="3">
        <v>0.31</v>
      </c>
      <c r="AA62" s="6">
        <v>0.14099999999999999</v>
      </c>
      <c r="AB62" s="7">
        <v>490</v>
      </c>
      <c r="AC62" s="54" t="s">
        <v>1</v>
      </c>
      <c r="AD62" s="6">
        <v>0.158</v>
      </c>
      <c r="AE62" s="6">
        <v>0.14099999999999999</v>
      </c>
      <c r="AF62" s="6">
        <v>0.189</v>
      </c>
      <c r="AG62" s="4">
        <v>0.32100000000000001</v>
      </c>
      <c r="AH62" s="4">
        <v>0.36</v>
      </c>
      <c r="AI62" s="20">
        <v>0.55400000000000005</v>
      </c>
      <c r="AJ62" s="3">
        <v>0.503</v>
      </c>
      <c r="AK62" s="6">
        <v>0.20300000000000001</v>
      </c>
      <c r="AL62" s="5">
        <v>0.27500000000000002</v>
      </c>
      <c r="AM62" s="20">
        <v>0.63</v>
      </c>
      <c r="AN62" s="6">
        <v>0.192</v>
      </c>
      <c r="AO62" s="6">
        <v>0.14099999999999999</v>
      </c>
      <c r="AP62" s="7">
        <v>490</v>
      </c>
    </row>
    <row r="63" spans="1:42">
      <c r="A63" s="55"/>
      <c r="B63" s="21">
        <v>0.11</v>
      </c>
      <c r="C63" s="14">
        <v>9.9000000000000005E-2</v>
      </c>
      <c r="D63" s="21">
        <v>0.123</v>
      </c>
      <c r="E63" s="13">
        <v>0.21199999999999999</v>
      </c>
      <c r="F63" s="21">
        <v>0.13200000000000001</v>
      </c>
      <c r="G63" s="11">
        <v>0.30299999999999999</v>
      </c>
      <c r="H63" s="12">
        <v>0.32</v>
      </c>
      <c r="I63" s="21">
        <v>0.12</v>
      </c>
      <c r="J63" s="21">
        <v>0.113</v>
      </c>
      <c r="K63" s="9">
        <v>0.436</v>
      </c>
      <c r="L63" s="28">
        <v>0.14000000000000001</v>
      </c>
      <c r="M63" s="14">
        <v>9.2999999999999999E-2</v>
      </c>
      <c r="N63" s="7">
        <v>750</v>
      </c>
      <c r="O63" s="55"/>
      <c r="P63" s="21">
        <v>0.109</v>
      </c>
      <c r="Q63" s="21">
        <v>9.6000000000000002E-2</v>
      </c>
      <c r="R63" s="28">
        <v>0.127</v>
      </c>
      <c r="S63" s="17">
        <v>0.215</v>
      </c>
      <c r="T63" s="28">
        <v>0.13400000000000001</v>
      </c>
      <c r="U63" s="11">
        <v>0.27100000000000002</v>
      </c>
      <c r="V63" s="18">
        <v>0.32200000000000001</v>
      </c>
      <c r="W63" s="21">
        <v>0.11899999999999999</v>
      </c>
      <c r="X63" s="28">
        <v>0.126</v>
      </c>
      <c r="Y63" s="18">
        <v>0.33500000000000002</v>
      </c>
      <c r="Z63" s="29">
        <v>0.161</v>
      </c>
      <c r="AA63" s="14">
        <v>9.4E-2</v>
      </c>
      <c r="AB63" s="7">
        <v>750</v>
      </c>
      <c r="AC63" s="55"/>
      <c r="AD63" s="21">
        <v>0.111</v>
      </c>
      <c r="AE63" s="14">
        <v>9.8000000000000004E-2</v>
      </c>
      <c r="AF63" s="21">
        <v>0.123</v>
      </c>
      <c r="AG63" s="29">
        <v>0.223</v>
      </c>
      <c r="AH63" s="21">
        <v>0.13</v>
      </c>
      <c r="AI63" s="13">
        <v>0.26300000000000001</v>
      </c>
      <c r="AJ63" s="11">
        <v>0.33</v>
      </c>
      <c r="AK63" s="21">
        <v>0.123</v>
      </c>
      <c r="AL63" s="14">
        <v>0.10299999999999999</v>
      </c>
      <c r="AM63" s="12">
        <v>0.371</v>
      </c>
      <c r="AN63" s="21">
        <v>0.13400000000000001</v>
      </c>
      <c r="AO63" s="14">
        <v>9.5000000000000001E-2</v>
      </c>
      <c r="AP63" s="7">
        <v>750</v>
      </c>
    </row>
    <row r="64" spans="1:42">
      <c r="A64" s="54" t="s">
        <v>2</v>
      </c>
      <c r="B64" s="6">
        <v>0.17100000000000001</v>
      </c>
      <c r="C64" s="6">
        <v>0.14099999999999999</v>
      </c>
      <c r="D64" s="6">
        <v>0.157</v>
      </c>
      <c r="E64" s="22">
        <v>0.624</v>
      </c>
      <c r="F64" s="5">
        <v>0.253</v>
      </c>
      <c r="G64" s="5">
        <v>0.20699999999999999</v>
      </c>
      <c r="H64" s="6">
        <v>0.16500000000000001</v>
      </c>
      <c r="I64" s="5">
        <v>0.22700000000000001</v>
      </c>
      <c r="J64" s="6">
        <v>0.16500000000000001</v>
      </c>
      <c r="K64" s="6">
        <v>0.185</v>
      </c>
      <c r="L64" s="6">
        <v>0.158</v>
      </c>
      <c r="M64" s="24">
        <v>0.96399999999999997</v>
      </c>
      <c r="N64" s="7">
        <v>490</v>
      </c>
      <c r="O64" s="54" t="s">
        <v>2</v>
      </c>
      <c r="P64" s="5">
        <v>0.16500000000000001</v>
      </c>
      <c r="Q64" s="6">
        <v>0.14699999999999999</v>
      </c>
      <c r="R64" s="5">
        <v>0.187</v>
      </c>
      <c r="S64" s="15">
        <v>0.59599999999999997</v>
      </c>
      <c r="T64" s="4">
        <v>0.27900000000000003</v>
      </c>
      <c r="U64" s="5">
        <v>0.16500000000000001</v>
      </c>
      <c r="V64" s="5">
        <v>0.17</v>
      </c>
      <c r="W64" s="5">
        <v>0.23100000000000001</v>
      </c>
      <c r="X64" s="5">
        <v>0.16500000000000001</v>
      </c>
      <c r="Y64" s="6">
        <v>0.153</v>
      </c>
      <c r="Z64" s="5">
        <v>0.16400000000000001</v>
      </c>
      <c r="AA64" s="32">
        <v>0.90200000000000002</v>
      </c>
      <c r="AB64" s="7">
        <v>490</v>
      </c>
      <c r="AC64" s="54" t="s">
        <v>2</v>
      </c>
      <c r="AD64" s="6">
        <v>0.158</v>
      </c>
      <c r="AE64" s="6">
        <v>0.14899999999999999</v>
      </c>
      <c r="AF64" s="6">
        <v>0.156</v>
      </c>
      <c r="AG64" s="20">
        <v>0.628</v>
      </c>
      <c r="AH64" s="4">
        <v>0.377</v>
      </c>
      <c r="AI64" s="6">
        <v>0.159</v>
      </c>
      <c r="AJ64" s="6">
        <v>0.17399999999999999</v>
      </c>
      <c r="AK64" s="6">
        <v>0.19600000000000001</v>
      </c>
      <c r="AL64" s="6">
        <v>0.16500000000000001</v>
      </c>
      <c r="AM64" s="6">
        <v>0.183</v>
      </c>
      <c r="AN64" s="6">
        <v>0.156</v>
      </c>
      <c r="AO64" s="15">
        <v>0.93</v>
      </c>
      <c r="AP64" s="7">
        <v>490</v>
      </c>
    </row>
    <row r="65" spans="1:56">
      <c r="A65" s="55"/>
      <c r="B65" s="21">
        <v>0.113</v>
      </c>
      <c r="C65" s="14">
        <v>9.9000000000000005E-2</v>
      </c>
      <c r="D65" s="21">
        <v>0.111</v>
      </c>
      <c r="E65" s="18">
        <v>0.35299999999999998</v>
      </c>
      <c r="F65" s="28">
        <v>0.16900000000000001</v>
      </c>
      <c r="G65" s="21">
        <v>0.13200000000000001</v>
      </c>
      <c r="H65" s="21">
        <v>0.11600000000000001</v>
      </c>
      <c r="I65" s="21">
        <v>0.11600000000000001</v>
      </c>
      <c r="J65" s="21">
        <v>0.11799999999999999</v>
      </c>
      <c r="K65" s="21">
        <v>0.123</v>
      </c>
      <c r="L65" s="21">
        <v>0.11600000000000001</v>
      </c>
      <c r="M65" s="26">
        <v>0.53700000000000003</v>
      </c>
      <c r="N65" s="7">
        <v>750</v>
      </c>
      <c r="O65" s="55"/>
      <c r="P65" s="21">
        <v>0.112</v>
      </c>
      <c r="Q65" s="21">
        <v>0.10199999999999999</v>
      </c>
      <c r="R65" s="21">
        <v>0.124</v>
      </c>
      <c r="S65" s="18">
        <v>0.33200000000000002</v>
      </c>
      <c r="T65" s="13">
        <v>0.188</v>
      </c>
      <c r="U65" s="21">
        <v>0.11600000000000001</v>
      </c>
      <c r="V65" s="21">
        <v>0.11899999999999999</v>
      </c>
      <c r="W65" s="21">
        <v>0.12</v>
      </c>
      <c r="X65" s="21">
        <v>0.11700000000000001</v>
      </c>
      <c r="Y65" s="21">
        <v>0.11</v>
      </c>
      <c r="Z65" s="21">
        <v>0.11899999999999999</v>
      </c>
      <c r="AA65" s="26">
        <v>0.48599999999999999</v>
      </c>
      <c r="AB65" s="7">
        <v>750</v>
      </c>
      <c r="AC65" s="55"/>
      <c r="AD65" s="14">
        <v>0.104</v>
      </c>
      <c r="AE65" s="14">
        <v>0.104</v>
      </c>
      <c r="AF65" s="21">
        <v>0.11</v>
      </c>
      <c r="AG65" s="12">
        <v>0.35699999999999998</v>
      </c>
      <c r="AH65" s="13">
        <v>0.245</v>
      </c>
      <c r="AI65" s="21">
        <v>0.113</v>
      </c>
      <c r="AJ65" s="21">
        <v>0.123</v>
      </c>
      <c r="AK65" s="21">
        <v>0.113</v>
      </c>
      <c r="AL65" s="21">
        <v>0.11700000000000001</v>
      </c>
      <c r="AM65" s="21">
        <v>0.121</v>
      </c>
      <c r="AN65" s="21">
        <v>0.114</v>
      </c>
      <c r="AO65" s="8">
        <v>0.52200000000000002</v>
      </c>
      <c r="AP65" s="7">
        <v>750</v>
      </c>
    </row>
    <row r="66" spans="1:56">
      <c r="A66" s="54" t="s">
        <v>3</v>
      </c>
      <c r="B66" s="4">
        <v>0.29299999999999998</v>
      </c>
      <c r="C66" s="6">
        <v>0.14899999999999999</v>
      </c>
      <c r="D66" s="6">
        <v>0.151</v>
      </c>
      <c r="E66" s="6">
        <v>0.14599999999999999</v>
      </c>
      <c r="F66" s="6">
        <v>0.15</v>
      </c>
      <c r="G66" s="4">
        <v>0.28199999999999997</v>
      </c>
      <c r="H66" s="22">
        <v>0.58599999999999997</v>
      </c>
      <c r="I66" s="16">
        <v>0.63700000000000001</v>
      </c>
      <c r="J66" s="6">
        <v>0.185</v>
      </c>
      <c r="K66" s="25">
        <v>1.331</v>
      </c>
      <c r="L66" s="6">
        <v>0.14699999999999999</v>
      </c>
      <c r="M66" s="6">
        <v>0.15</v>
      </c>
      <c r="N66" s="7">
        <v>490</v>
      </c>
      <c r="O66" s="54" t="s">
        <v>3</v>
      </c>
      <c r="P66" s="6">
        <v>0.158</v>
      </c>
      <c r="Q66" s="6">
        <v>0.14899999999999999</v>
      </c>
      <c r="R66" s="5">
        <v>0.17199999999999999</v>
      </c>
      <c r="S66" s="6">
        <v>0.14799999999999999</v>
      </c>
      <c r="T66" s="5">
        <v>0.20300000000000001</v>
      </c>
      <c r="U66" s="3">
        <v>0.32300000000000001</v>
      </c>
      <c r="V66" s="15">
        <v>0.622</v>
      </c>
      <c r="W66" s="15">
        <v>0.59199999999999997</v>
      </c>
      <c r="X66" s="6">
        <v>0.14199999999999999</v>
      </c>
      <c r="Y66" s="5">
        <v>0.16400000000000001</v>
      </c>
      <c r="Z66" s="6">
        <v>0.14899999999999999</v>
      </c>
      <c r="AA66" s="6">
        <v>0.14599999999999999</v>
      </c>
      <c r="AB66" s="7">
        <v>490</v>
      </c>
      <c r="AC66" s="54" t="s">
        <v>3</v>
      </c>
      <c r="AD66" s="6">
        <v>0.16</v>
      </c>
      <c r="AE66" s="6">
        <v>0.15</v>
      </c>
      <c r="AF66" s="6">
        <v>0.189</v>
      </c>
      <c r="AG66" s="6">
        <v>0.157</v>
      </c>
      <c r="AH66" s="6">
        <v>0.16200000000000001</v>
      </c>
      <c r="AI66" s="5">
        <v>0.25600000000000001</v>
      </c>
      <c r="AJ66" s="20">
        <v>0.61299999999999999</v>
      </c>
      <c r="AK66" s="20">
        <v>0.55900000000000005</v>
      </c>
      <c r="AL66" s="6">
        <v>0.17799999999999999</v>
      </c>
      <c r="AM66" s="6">
        <v>0.16300000000000001</v>
      </c>
      <c r="AN66" s="6">
        <v>0.14499999999999999</v>
      </c>
      <c r="AO66" s="6">
        <v>0.14799999999999999</v>
      </c>
      <c r="AP66" s="7">
        <v>490</v>
      </c>
    </row>
    <row r="67" spans="1:56">
      <c r="A67" s="55"/>
      <c r="B67" s="28">
        <v>0.159</v>
      </c>
      <c r="C67" s="21">
        <v>0.107</v>
      </c>
      <c r="D67" s="21">
        <v>0.107</v>
      </c>
      <c r="E67" s="14">
        <v>8.4000000000000005E-2</v>
      </c>
      <c r="F67" s="21">
        <v>0.108</v>
      </c>
      <c r="G67" s="28">
        <v>0.14899999999999999</v>
      </c>
      <c r="H67" s="17">
        <v>0.254</v>
      </c>
      <c r="I67" s="11">
        <v>0.30099999999999999</v>
      </c>
      <c r="J67" s="14">
        <v>0.10100000000000001</v>
      </c>
      <c r="K67" s="9">
        <v>0.434</v>
      </c>
      <c r="L67" s="14">
        <v>0.106</v>
      </c>
      <c r="M67" s="14">
        <v>0.105</v>
      </c>
      <c r="N67" s="7">
        <v>750</v>
      </c>
      <c r="O67" s="55"/>
      <c r="P67" s="21">
        <v>0.111</v>
      </c>
      <c r="Q67" s="21">
        <v>0.106</v>
      </c>
      <c r="R67" s="21">
        <v>0.115</v>
      </c>
      <c r="S67" s="14">
        <v>8.4000000000000005E-2</v>
      </c>
      <c r="T67" s="28">
        <v>0.13200000000000001</v>
      </c>
      <c r="U67" s="29">
        <v>0.17799999999999999</v>
      </c>
      <c r="V67" s="12">
        <v>0.28000000000000003</v>
      </c>
      <c r="W67" s="10">
        <v>0.34399999999999997</v>
      </c>
      <c r="X67" s="21">
        <v>0.104</v>
      </c>
      <c r="Y67" s="21">
        <v>0.11899999999999999</v>
      </c>
      <c r="Z67" s="21">
        <v>0.106</v>
      </c>
      <c r="AA67" s="21">
        <v>0.10299999999999999</v>
      </c>
      <c r="AB67" s="7">
        <v>750</v>
      </c>
      <c r="AC67" s="55"/>
      <c r="AD67" s="21">
        <v>0.109</v>
      </c>
      <c r="AE67" s="21">
        <v>0.106</v>
      </c>
      <c r="AF67" s="21">
        <v>0.123</v>
      </c>
      <c r="AG67" s="14">
        <v>0.1</v>
      </c>
      <c r="AH67" s="21">
        <v>0.114</v>
      </c>
      <c r="AI67" s="28">
        <v>0.151</v>
      </c>
      <c r="AJ67" s="13">
        <v>0.253</v>
      </c>
      <c r="AK67" s="11">
        <v>0.315</v>
      </c>
      <c r="AL67" s="14">
        <v>0.10199999999999999</v>
      </c>
      <c r="AM67" s="21">
        <v>0.11700000000000001</v>
      </c>
      <c r="AN67" s="14">
        <v>0.105</v>
      </c>
      <c r="AO67" s="21">
        <v>0.105</v>
      </c>
      <c r="AP67" s="7">
        <v>750</v>
      </c>
    </row>
    <row r="68" spans="1:56">
      <c r="A68" s="54" t="s">
        <v>4</v>
      </c>
      <c r="B68" s="6">
        <v>0.106</v>
      </c>
      <c r="C68" s="6">
        <v>0.13300000000000001</v>
      </c>
      <c r="D68" s="6">
        <v>0.14799999999999999</v>
      </c>
      <c r="E68" s="4">
        <v>0.32300000000000001</v>
      </c>
      <c r="F68" s="3">
        <v>0.41799999999999998</v>
      </c>
      <c r="G68" s="6">
        <v>0.16</v>
      </c>
      <c r="H68" s="6">
        <v>0.159</v>
      </c>
      <c r="I68" s="6">
        <v>0.16900000000000001</v>
      </c>
      <c r="J68" s="3">
        <v>0.432</v>
      </c>
      <c r="K68" s="6">
        <v>0.153</v>
      </c>
      <c r="L68" s="6">
        <v>0.14199999999999999</v>
      </c>
      <c r="M68" s="3">
        <v>0.39</v>
      </c>
      <c r="N68" s="7">
        <v>490</v>
      </c>
      <c r="O68" s="54" t="s">
        <v>4</v>
      </c>
      <c r="P68" s="6">
        <v>9.5000000000000001E-2</v>
      </c>
      <c r="Q68" s="6">
        <v>0.13</v>
      </c>
      <c r="R68" s="6">
        <v>0.152</v>
      </c>
      <c r="S68" s="4">
        <v>0.28299999999999997</v>
      </c>
      <c r="T68" s="22">
        <v>0.44500000000000001</v>
      </c>
      <c r="U68" s="6">
        <v>0.16</v>
      </c>
      <c r="V68" s="5">
        <v>0.16600000000000001</v>
      </c>
      <c r="W68" s="6">
        <v>0.16300000000000001</v>
      </c>
      <c r="X68" s="3">
        <v>0.308</v>
      </c>
      <c r="Y68" s="6">
        <v>0.156</v>
      </c>
      <c r="Z68" s="5">
        <v>0.17899999999999999</v>
      </c>
      <c r="AA68" s="20">
        <v>0.40799999999999997</v>
      </c>
      <c r="AB68" s="7">
        <v>490</v>
      </c>
      <c r="AC68" s="54" t="s">
        <v>4</v>
      </c>
      <c r="AD68" s="6">
        <v>9.5000000000000001E-2</v>
      </c>
      <c r="AE68" s="6">
        <v>0.13500000000000001</v>
      </c>
      <c r="AF68" s="4">
        <v>0.34100000000000003</v>
      </c>
      <c r="AG68" s="5">
        <v>0.30499999999999999</v>
      </c>
      <c r="AH68" s="3">
        <v>0.443</v>
      </c>
      <c r="AI68" s="6">
        <v>0.157</v>
      </c>
      <c r="AJ68" s="6">
        <v>0.16400000000000001</v>
      </c>
      <c r="AK68" s="16">
        <v>0.77500000000000002</v>
      </c>
      <c r="AL68" s="4">
        <v>0.32800000000000001</v>
      </c>
      <c r="AM68" s="6">
        <v>0.15</v>
      </c>
      <c r="AN68" s="6">
        <v>0.14099999999999999</v>
      </c>
      <c r="AO68" s="4">
        <v>0.36899999999999999</v>
      </c>
      <c r="AP68" s="7">
        <v>490</v>
      </c>
    </row>
    <row r="69" spans="1:56">
      <c r="A69" s="55"/>
      <c r="B69" s="14">
        <v>7.2999999999999995E-2</v>
      </c>
      <c r="C69" s="14">
        <v>9.4E-2</v>
      </c>
      <c r="D69" s="21">
        <v>0.107</v>
      </c>
      <c r="E69" s="17">
        <v>0.24199999999999999</v>
      </c>
      <c r="F69" s="14">
        <v>9.4E-2</v>
      </c>
      <c r="G69" s="21">
        <v>0.112</v>
      </c>
      <c r="H69" s="21">
        <v>0.111</v>
      </c>
      <c r="I69" s="21">
        <v>0.113</v>
      </c>
      <c r="J69" s="29">
        <v>0.17799999999999999</v>
      </c>
      <c r="K69" s="14">
        <v>0.106</v>
      </c>
      <c r="L69" s="14">
        <v>0.104</v>
      </c>
      <c r="M69" s="21">
        <v>0.11700000000000001</v>
      </c>
      <c r="N69" s="7">
        <v>750</v>
      </c>
      <c r="O69" s="55"/>
      <c r="P69" s="14">
        <v>6.4000000000000001E-2</v>
      </c>
      <c r="Q69" s="14">
        <v>9.1999999999999998E-2</v>
      </c>
      <c r="R69" s="21">
        <v>0.11</v>
      </c>
      <c r="S69" s="13">
        <v>0.20899999999999999</v>
      </c>
      <c r="T69" s="21">
        <v>0.1</v>
      </c>
      <c r="U69" s="21">
        <v>0.112</v>
      </c>
      <c r="V69" s="21">
        <v>0.115</v>
      </c>
      <c r="W69" s="21">
        <v>0.115</v>
      </c>
      <c r="X69" s="28">
        <v>0.14299999999999999</v>
      </c>
      <c r="Y69" s="21">
        <v>0.107</v>
      </c>
      <c r="Z69" s="21">
        <v>0.11799999999999999</v>
      </c>
      <c r="AA69" s="21">
        <v>0.11899999999999999</v>
      </c>
      <c r="AB69" s="7">
        <v>750</v>
      </c>
      <c r="AC69" s="55"/>
      <c r="AD69" s="14">
        <v>6.4000000000000001E-2</v>
      </c>
      <c r="AE69" s="14">
        <v>9.4E-2</v>
      </c>
      <c r="AF69" s="28">
        <v>0.158</v>
      </c>
      <c r="AG69" s="29">
        <v>0.21199999999999999</v>
      </c>
      <c r="AH69" s="14">
        <v>9.8000000000000004E-2</v>
      </c>
      <c r="AI69" s="21">
        <v>0.109</v>
      </c>
      <c r="AJ69" s="21">
        <v>0.113</v>
      </c>
      <c r="AK69" s="13">
        <v>0.26500000000000001</v>
      </c>
      <c r="AL69" s="28">
        <v>0.16200000000000001</v>
      </c>
      <c r="AM69" s="14">
        <v>0.10299999999999999</v>
      </c>
      <c r="AN69" s="14">
        <v>0.104</v>
      </c>
      <c r="AO69" s="21">
        <v>0.11700000000000001</v>
      </c>
      <c r="AP69" s="7">
        <v>750</v>
      </c>
    </row>
    <row r="70" spans="1:56">
      <c r="A70" s="54" t="s">
        <v>5</v>
      </c>
      <c r="B70" s="6">
        <v>0.14299999999999999</v>
      </c>
      <c r="C70" s="6">
        <v>0.13900000000000001</v>
      </c>
      <c r="D70" s="6">
        <v>0.17100000000000001</v>
      </c>
      <c r="E70" s="6">
        <v>0.156</v>
      </c>
      <c r="F70" s="4">
        <v>0.28199999999999997</v>
      </c>
      <c r="G70" s="6">
        <v>0.155</v>
      </c>
      <c r="H70" s="6">
        <v>0.14599999999999999</v>
      </c>
      <c r="I70" s="6">
        <v>0.161</v>
      </c>
      <c r="J70" s="5">
        <v>0.26400000000000001</v>
      </c>
      <c r="K70" s="6">
        <v>0.14699999999999999</v>
      </c>
      <c r="L70" s="6">
        <v>0.14699999999999999</v>
      </c>
      <c r="M70" s="23">
        <v>0.82399999999999995</v>
      </c>
      <c r="N70" s="7">
        <v>490</v>
      </c>
      <c r="O70" s="54" t="s">
        <v>5</v>
      </c>
      <c r="P70" s="3">
        <v>0.36499999999999999</v>
      </c>
      <c r="Q70" s="6">
        <v>0.14000000000000001</v>
      </c>
      <c r="R70" s="6">
        <v>0.14899999999999999</v>
      </c>
      <c r="S70" s="6">
        <v>0.154</v>
      </c>
      <c r="T70" s="5">
        <v>0.223</v>
      </c>
      <c r="U70" s="5">
        <v>0.17799999999999999</v>
      </c>
      <c r="V70" s="6">
        <v>0.161</v>
      </c>
      <c r="W70" s="6">
        <v>0.153</v>
      </c>
      <c r="X70" s="4">
        <v>0.27100000000000002</v>
      </c>
      <c r="Y70" s="6">
        <v>0.14799999999999999</v>
      </c>
      <c r="Z70" s="6">
        <v>0.153</v>
      </c>
      <c r="AA70" s="6">
        <v>0.13900000000000001</v>
      </c>
      <c r="AB70" s="7">
        <v>490</v>
      </c>
      <c r="AC70" s="54" t="s">
        <v>5</v>
      </c>
      <c r="AD70" s="6">
        <v>0.14000000000000001</v>
      </c>
      <c r="AE70" s="6">
        <v>0.14499999999999999</v>
      </c>
      <c r="AF70" s="5">
        <v>0.28699999999999998</v>
      </c>
      <c r="AG70" s="6">
        <v>0.156</v>
      </c>
      <c r="AH70" s="6">
        <v>0.19600000000000001</v>
      </c>
      <c r="AI70" s="6">
        <v>0.189</v>
      </c>
      <c r="AJ70" s="6">
        <v>0.19</v>
      </c>
      <c r="AK70" s="6">
        <v>0.14299999999999999</v>
      </c>
      <c r="AL70" s="5">
        <v>0.26700000000000002</v>
      </c>
      <c r="AM70" s="4">
        <v>0.33500000000000002</v>
      </c>
      <c r="AN70" s="6">
        <v>0.14000000000000001</v>
      </c>
      <c r="AO70" s="6">
        <v>0.14499999999999999</v>
      </c>
      <c r="AP70" s="7">
        <v>490</v>
      </c>
    </row>
    <row r="71" spans="1:56">
      <c r="A71" s="55"/>
      <c r="B71" s="14">
        <v>0.10100000000000001</v>
      </c>
      <c r="C71" s="14">
        <v>9.9000000000000005E-2</v>
      </c>
      <c r="D71" s="21">
        <v>0.11600000000000001</v>
      </c>
      <c r="E71" s="21">
        <v>0.114</v>
      </c>
      <c r="F71" s="21">
        <v>0.11799999999999999</v>
      </c>
      <c r="G71" s="21">
        <v>0.11</v>
      </c>
      <c r="H71" s="21">
        <v>0.107</v>
      </c>
      <c r="I71" s="21">
        <v>0.113</v>
      </c>
      <c r="J71" s="14">
        <v>0.1</v>
      </c>
      <c r="K71" s="14">
        <v>0.104</v>
      </c>
      <c r="L71" s="21">
        <v>0.106</v>
      </c>
      <c r="M71" s="17">
        <v>0.254</v>
      </c>
      <c r="N71" s="7">
        <v>750</v>
      </c>
      <c r="O71" s="55"/>
      <c r="P71" s="29">
        <v>0.18099999999999999</v>
      </c>
      <c r="Q71" s="21">
        <v>0.10199999999999999</v>
      </c>
      <c r="R71" s="21">
        <v>0.108</v>
      </c>
      <c r="S71" s="21">
        <v>0.112</v>
      </c>
      <c r="T71" s="21">
        <v>0.109</v>
      </c>
      <c r="U71" s="28">
        <v>0.13</v>
      </c>
      <c r="V71" s="21">
        <v>0.114</v>
      </c>
      <c r="W71" s="21">
        <v>0.108</v>
      </c>
      <c r="X71" s="21">
        <v>0.11</v>
      </c>
      <c r="Y71" s="21">
        <v>0.107</v>
      </c>
      <c r="Z71" s="21">
        <v>0.109</v>
      </c>
      <c r="AA71" s="21">
        <v>9.8000000000000004E-2</v>
      </c>
      <c r="AB71" s="7">
        <v>750</v>
      </c>
      <c r="AC71" s="55"/>
      <c r="AD71" s="14">
        <v>9.8000000000000004E-2</v>
      </c>
      <c r="AE71" s="21">
        <v>0.105</v>
      </c>
      <c r="AF71" s="28">
        <v>0.155</v>
      </c>
      <c r="AG71" s="21">
        <v>0.113</v>
      </c>
      <c r="AH71" s="21">
        <v>0.109</v>
      </c>
      <c r="AI71" s="21">
        <v>0.108</v>
      </c>
      <c r="AJ71" s="21">
        <v>0.125</v>
      </c>
      <c r="AK71" s="14">
        <v>0.10199999999999999</v>
      </c>
      <c r="AL71" s="14">
        <v>0.10199999999999999</v>
      </c>
      <c r="AM71" s="28">
        <v>0.16400000000000001</v>
      </c>
      <c r="AN71" s="14">
        <v>0.1</v>
      </c>
      <c r="AO71" s="14">
        <v>0.10199999999999999</v>
      </c>
      <c r="AP71" s="7">
        <v>750</v>
      </c>
    </row>
    <row r="72" spans="1:56">
      <c r="A72" s="54" t="s">
        <v>6</v>
      </c>
      <c r="B72" s="5">
        <v>0.20100000000000001</v>
      </c>
      <c r="C72" s="3">
        <v>0.39700000000000002</v>
      </c>
      <c r="D72" s="4">
        <v>0.309</v>
      </c>
      <c r="E72" s="5">
        <v>0.24399999999999999</v>
      </c>
      <c r="F72" s="6">
        <v>0.11799999999999999</v>
      </c>
      <c r="G72" s="6">
        <v>0.151</v>
      </c>
      <c r="H72" s="6">
        <v>0.14099999999999999</v>
      </c>
      <c r="I72" s="6">
        <v>0.15</v>
      </c>
      <c r="J72" s="5">
        <v>0.217</v>
      </c>
      <c r="K72" s="4">
        <v>0.30299999999999999</v>
      </c>
      <c r="L72" s="6">
        <v>0.128</v>
      </c>
      <c r="M72" s="6">
        <v>0.14299999999999999</v>
      </c>
      <c r="N72" s="7">
        <v>490</v>
      </c>
      <c r="O72" s="54" t="s">
        <v>6</v>
      </c>
      <c r="P72" s="6">
        <v>0.14000000000000001</v>
      </c>
      <c r="Q72" s="6">
        <v>0.159</v>
      </c>
      <c r="R72" s="6">
        <v>0.14799999999999999</v>
      </c>
      <c r="S72" s="4">
        <v>0.28599999999999998</v>
      </c>
      <c r="T72" s="6">
        <v>0.125</v>
      </c>
      <c r="U72" s="6">
        <v>0.15</v>
      </c>
      <c r="V72" s="6">
        <v>0.15</v>
      </c>
      <c r="W72" s="5">
        <v>0.19800000000000001</v>
      </c>
      <c r="X72" s="5">
        <v>0.23100000000000001</v>
      </c>
      <c r="Y72" s="4">
        <v>0.23499999999999999</v>
      </c>
      <c r="Z72" s="5">
        <v>0.182</v>
      </c>
      <c r="AA72" s="6">
        <v>0.14399999999999999</v>
      </c>
      <c r="AB72" s="7">
        <v>490</v>
      </c>
      <c r="AC72" s="54" t="s">
        <v>6</v>
      </c>
      <c r="AD72" s="6">
        <v>0.14899999999999999</v>
      </c>
      <c r="AE72" s="5">
        <v>0.23100000000000001</v>
      </c>
      <c r="AF72" s="6">
        <v>0.14499999999999999</v>
      </c>
      <c r="AG72" s="5">
        <v>0.27200000000000002</v>
      </c>
      <c r="AH72" s="5">
        <v>0.23599999999999999</v>
      </c>
      <c r="AI72" s="6">
        <v>0.14199999999999999</v>
      </c>
      <c r="AJ72" s="6">
        <v>0.13900000000000001</v>
      </c>
      <c r="AK72" s="6">
        <v>0.19400000000000001</v>
      </c>
      <c r="AL72" s="6">
        <v>0.19400000000000001</v>
      </c>
      <c r="AM72" s="5">
        <v>0.217</v>
      </c>
      <c r="AN72" s="6">
        <v>0.122</v>
      </c>
      <c r="AO72" s="6">
        <v>0.183</v>
      </c>
      <c r="AP72" s="7">
        <v>490</v>
      </c>
    </row>
    <row r="73" spans="1:56">
      <c r="A73" s="55"/>
      <c r="B73" s="21">
        <v>0.123</v>
      </c>
      <c r="C73" s="13">
        <v>0.223</v>
      </c>
      <c r="D73" s="28">
        <v>0.157</v>
      </c>
      <c r="E73" s="28">
        <v>0.17100000000000001</v>
      </c>
      <c r="F73" s="14">
        <v>8.3000000000000004E-2</v>
      </c>
      <c r="G73" s="14">
        <v>0.106</v>
      </c>
      <c r="H73" s="14">
        <v>9.8000000000000004E-2</v>
      </c>
      <c r="I73" s="14">
        <v>0.105</v>
      </c>
      <c r="J73" s="21">
        <v>0.127</v>
      </c>
      <c r="K73" s="28">
        <v>0.16400000000000001</v>
      </c>
      <c r="L73" s="14">
        <v>8.6999999999999994E-2</v>
      </c>
      <c r="M73" s="14">
        <v>9.8000000000000004E-2</v>
      </c>
      <c r="N73" s="7">
        <v>750</v>
      </c>
      <c r="O73" s="55"/>
      <c r="P73" s="21">
        <v>9.8000000000000004E-2</v>
      </c>
      <c r="Q73" s="21">
        <v>0.114</v>
      </c>
      <c r="R73" s="21">
        <v>0.11</v>
      </c>
      <c r="S73" s="13">
        <v>0.20499999999999999</v>
      </c>
      <c r="T73" s="14">
        <v>8.7999999999999995E-2</v>
      </c>
      <c r="U73" s="21">
        <v>0.10299999999999999</v>
      </c>
      <c r="V73" s="21">
        <v>0.106</v>
      </c>
      <c r="W73" s="28">
        <v>0.124</v>
      </c>
      <c r="X73" s="28">
        <v>0.13</v>
      </c>
      <c r="Y73" s="28">
        <v>0.13600000000000001</v>
      </c>
      <c r="Z73" s="21">
        <v>0.105</v>
      </c>
      <c r="AA73" s="21">
        <v>9.9000000000000005E-2</v>
      </c>
      <c r="AB73" s="7">
        <v>750</v>
      </c>
      <c r="AC73" s="55"/>
      <c r="AD73" s="14">
        <v>0.104</v>
      </c>
      <c r="AE73" s="21">
        <v>0.14099999999999999</v>
      </c>
      <c r="AF73" s="21">
        <v>0.106</v>
      </c>
      <c r="AG73" s="29">
        <v>0.187</v>
      </c>
      <c r="AH73" s="21">
        <v>0.13</v>
      </c>
      <c r="AI73" s="14">
        <v>9.8000000000000004E-2</v>
      </c>
      <c r="AJ73" s="14">
        <v>9.6000000000000002E-2</v>
      </c>
      <c r="AK73" s="21">
        <v>0.12</v>
      </c>
      <c r="AL73" s="21">
        <v>0.11899999999999999</v>
      </c>
      <c r="AM73" s="21">
        <v>0.126</v>
      </c>
      <c r="AN73" s="14">
        <v>8.4000000000000005E-2</v>
      </c>
      <c r="AO73" s="21">
        <v>0.114</v>
      </c>
      <c r="AP73" s="7">
        <v>750</v>
      </c>
    </row>
    <row r="74" spans="1:56">
      <c r="A74" s="54" t="s">
        <v>7</v>
      </c>
      <c r="B74" s="3">
        <v>0.42199999999999999</v>
      </c>
      <c r="C74" s="6">
        <v>0.11700000000000001</v>
      </c>
      <c r="D74" s="6">
        <v>0.154</v>
      </c>
      <c r="E74" s="6">
        <v>0.157</v>
      </c>
      <c r="F74" s="6">
        <v>0.14399999999999999</v>
      </c>
      <c r="G74" s="6">
        <v>0.153</v>
      </c>
      <c r="H74" s="6">
        <v>0.156</v>
      </c>
      <c r="I74" s="6">
        <v>0.16300000000000001</v>
      </c>
      <c r="J74" s="32">
        <v>1.07</v>
      </c>
      <c r="K74" s="6">
        <v>0.14899999999999999</v>
      </c>
      <c r="L74" s="6">
        <v>0.17</v>
      </c>
      <c r="M74" s="6">
        <v>0.159</v>
      </c>
      <c r="N74" s="7">
        <v>490</v>
      </c>
      <c r="O74" s="54" t="s">
        <v>7</v>
      </c>
      <c r="P74" s="3">
        <v>0.35899999999999999</v>
      </c>
      <c r="Q74" s="6">
        <v>0.13</v>
      </c>
      <c r="R74" s="6">
        <v>0.16</v>
      </c>
      <c r="S74" s="6">
        <v>0.14699999999999999</v>
      </c>
      <c r="T74" s="6">
        <v>0.14299999999999999</v>
      </c>
      <c r="U74" s="6">
        <v>0.15</v>
      </c>
      <c r="V74" s="5">
        <v>0.224</v>
      </c>
      <c r="W74" s="6">
        <v>0.156</v>
      </c>
      <c r="X74" s="25">
        <v>1.052</v>
      </c>
      <c r="Y74" s="6">
        <v>0.161</v>
      </c>
      <c r="Z74" s="5">
        <v>0.17799999999999999</v>
      </c>
      <c r="AA74" s="6">
        <v>0.16200000000000001</v>
      </c>
      <c r="AB74" s="7">
        <v>490</v>
      </c>
      <c r="AC74" s="54" t="s">
        <v>7</v>
      </c>
      <c r="AD74" s="4">
        <v>0.33300000000000002</v>
      </c>
      <c r="AE74" s="6">
        <v>0.127</v>
      </c>
      <c r="AF74" s="25">
        <v>1.667</v>
      </c>
      <c r="AG74" s="6">
        <v>0.155</v>
      </c>
      <c r="AH74" s="6">
        <v>0.14000000000000001</v>
      </c>
      <c r="AI74" s="6">
        <v>0.14399999999999999</v>
      </c>
      <c r="AJ74" s="6">
        <v>0.15</v>
      </c>
      <c r="AK74" s="6">
        <v>0.19600000000000001</v>
      </c>
      <c r="AL74" s="23">
        <v>1.103</v>
      </c>
      <c r="AM74" s="6">
        <v>0.20100000000000001</v>
      </c>
      <c r="AN74" s="6">
        <v>0.161</v>
      </c>
      <c r="AO74" s="6">
        <v>0.15</v>
      </c>
      <c r="AP74" s="7">
        <v>490</v>
      </c>
    </row>
    <row r="75" spans="1:56">
      <c r="A75" s="55"/>
      <c r="B75" s="17">
        <v>0.249</v>
      </c>
      <c r="C75" s="14">
        <v>8.1000000000000003E-2</v>
      </c>
      <c r="D75" s="21">
        <v>0.108</v>
      </c>
      <c r="E75" s="21">
        <v>0.108</v>
      </c>
      <c r="F75" s="14">
        <v>0.10199999999999999</v>
      </c>
      <c r="G75" s="14">
        <v>0.105</v>
      </c>
      <c r="H75" s="21">
        <v>0.106</v>
      </c>
      <c r="I75" s="21">
        <v>0.115</v>
      </c>
      <c r="J75" s="10">
        <v>0.40300000000000002</v>
      </c>
      <c r="K75" s="14">
        <v>0.104</v>
      </c>
      <c r="L75" s="14">
        <v>9.8000000000000004E-2</v>
      </c>
      <c r="M75" s="21">
        <v>0.111</v>
      </c>
      <c r="N75" s="7">
        <v>750</v>
      </c>
      <c r="O75" s="55"/>
      <c r="P75" s="17">
        <v>0.23699999999999999</v>
      </c>
      <c r="Q75" s="14">
        <v>8.8999999999999996E-2</v>
      </c>
      <c r="R75" s="21">
        <v>0.106</v>
      </c>
      <c r="S75" s="21">
        <v>0.104</v>
      </c>
      <c r="T75" s="21">
        <v>0.10199999999999999</v>
      </c>
      <c r="U75" s="21">
        <v>0.10299999999999999</v>
      </c>
      <c r="V75" s="28">
        <v>0.125</v>
      </c>
      <c r="W75" s="21">
        <v>0.109</v>
      </c>
      <c r="X75" s="9">
        <v>0.373</v>
      </c>
      <c r="Y75" s="21">
        <v>0.109</v>
      </c>
      <c r="Z75" s="21">
        <v>0.106</v>
      </c>
      <c r="AA75" s="21">
        <v>0.114</v>
      </c>
      <c r="AB75" s="7">
        <v>750</v>
      </c>
      <c r="AC75" s="55"/>
      <c r="AD75" s="29">
        <v>0.22</v>
      </c>
      <c r="AE75" s="14">
        <v>8.6999999999999994E-2</v>
      </c>
      <c r="AF75" s="26">
        <v>0.63500000000000001</v>
      </c>
      <c r="AG75" s="21">
        <v>0.108</v>
      </c>
      <c r="AH75" s="14">
        <v>9.8000000000000004E-2</v>
      </c>
      <c r="AI75" s="14">
        <v>0.1</v>
      </c>
      <c r="AJ75" s="14">
        <v>0.10100000000000001</v>
      </c>
      <c r="AK75" s="21">
        <v>0.11899999999999999</v>
      </c>
      <c r="AL75" s="18">
        <v>0.41499999999999998</v>
      </c>
      <c r="AM75" s="21">
        <v>0.128</v>
      </c>
      <c r="AN75" s="14">
        <v>9.5000000000000001E-2</v>
      </c>
      <c r="AO75" s="21">
        <v>0.106</v>
      </c>
      <c r="AP75" s="7">
        <v>750</v>
      </c>
    </row>
    <row r="77" spans="1:56">
      <c r="A77" t="s">
        <v>15</v>
      </c>
      <c r="B77" t="s">
        <v>17</v>
      </c>
      <c r="O77" t="s">
        <v>14</v>
      </c>
      <c r="P77" t="s">
        <v>17</v>
      </c>
      <c r="AC77" t="s">
        <v>16</v>
      </c>
      <c r="AD77" t="s">
        <v>17</v>
      </c>
      <c r="AQ77" t="s">
        <v>13</v>
      </c>
      <c r="AR77" t="s">
        <v>10</v>
      </c>
      <c r="AS77" t="s">
        <v>18</v>
      </c>
    </row>
    <row r="78" spans="1:56">
      <c r="A78" s="1"/>
      <c r="B78" s="2">
        <v>1</v>
      </c>
      <c r="C78" s="2">
        <v>2</v>
      </c>
      <c r="D78" s="2">
        <v>3</v>
      </c>
      <c r="E78" s="2">
        <v>4</v>
      </c>
      <c r="F78" s="2">
        <v>5</v>
      </c>
      <c r="G78" s="2">
        <v>6</v>
      </c>
      <c r="H78" s="2">
        <v>7</v>
      </c>
      <c r="I78" s="2">
        <v>8</v>
      </c>
      <c r="J78" s="2">
        <v>9</v>
      </c>
      <c r="K78" s="2">
        <v>10</v>
      </c>
      <c r="L78" s="2">
        <v>11</v>
      </c>
      <c r="M78" s="2">
        <v>12</v>
      </c>
      <c r="O78" s="1"/>
      <c r="P78" s="2">
        <v>1</v>
      </c>
      <c r="Q78" s="2">
        <v>2</v>
      </c>
      <c r="R78" s="2">
        <v>3</v>
      </c>
      <c r="S78" s="2">
        <v>4</v>
      </c>
      <c r="T78" s="2">
        <v>5</v>
      </c>
      <c r="U78" s="2">
        <v>6</v>
      </c>
      <c r="V78" s="2">
        <v>7</v>
      </c>
      <c r="W78" s="2">
        <v>8</v>
      </c>
      <c r="X78" s="2">
        <v>9</v>
      </c>
      <c r="Y78" s="2">
        <v>10</v>
      </c>
      <c r="Z78" s="2">
        <v>11</v>
      </c>
      <c r="AA78" s="2">
        <v>12</v>
      </c>
      <c r="AC78" s="1"/>
      <c r="AD78" s="2">
        <v>1</v>
      </c>
      <c r="AE78" s="2">
        <v>2</v>
      </c>
      <c r="AF78" s="2">
        <v>3</v>
      </c>
      <c r="AG78" s="2">
        <v>4</v>
      </c>
      <c r="AH78" s="2">
        <v>5</v>
      </c>
      <c r="AI78" s="2">
        <v>6</v>
      </c>
      <c r="AJ78" s="2">
        <v>7</v>
      </c>
      <c r="AK78" s="2">
        <v>8</v>
      </c>
      <c r="AL78" s="2">
        <v>9</v>
      </c>
      <c r="AM78" s="2">
        <v>10</v>
      </c>
      <c r="AN78" s="2">
        <v>11</v>
      </c>
      <c r="AO78" s="2">
        <v>12</v>
      </c>
      <c r="AQ78" s="1"/>
      <c r="AR78" s="2">
        <v>1</v>
      </c>
      <c r="AS78" s="2">
        <v>2</v>
      </c>
      <c r="AT78" s="2">
        <v>3</v>
      </c>
      <c r="AU78" s="2">
        <v>4</v>
      </c>
      <c r="AV78" s="2">
        <v>5</v>
      </c>
      <c r="AW78" s="2">
        <v>6</v>
      </c>
      <c r="AX78" s="2">
        <v>7</v>
      </c>
      <c r="AY78" s="2">
        <v>8</v>
      </c>
      <c r="AZ78" s="2">
        <v>9</v>
      </c>
      <c r="BA78" s="2">
        <v>10</v>
      </c>
      <c r="BB78" s="2">
        <v>11</v>
      </c>
      <c r="BC78" s="2">
        <v>12</v>
      </c>
    </row>
    <row r="79" spans="1:56">
      <c r="A79" s="54" t="s">
        <v>0</v>
      </c>
      <c r="B79" s="6">
        <v>0.14899999999999999</v>
      </c>
      <c r="C79" s="6">
        <v>0.17199999999999999</v>
      </c>
      <c r="D79" s="6">
        <v>0.19600000000000001</v>
      </c>
      <c r="E79" s="6">
        <v>0.20100000000000001</v>
      </c>
      <c r="F79" s="6">
        <v>0.14000000000000001</v>
      </c>
      <c r="G79" s="6">
        <v>0.193</v>
      </c>
      <c r="H79" s="6">
        <v>0.13</v>
      </c>
      <c r="I79" s="6">
        <v>0.152</v>
      </c>
      <c r="J79" s="6">
        <v>0.153</v>
      </c>
      <c r="K79" s="3">
        <v>0.55600000000000005</v>
      </c>
      <c r="L79" s="6">
        <v>0.189</v>
      </c>
      <c r="M79" s="5">
        <v>0.30099999999999999</v>
      </c>
      <c r="N79" s="7">
        <v>490</v>
      </c>
      <c r="O79" s="54" t="s">
        <v>0</v>
      </c>
      <c r="P79" s="6">
        <v>0.14699999999999999</v>
      </c>
      <c r="Q79" s="6">
        <v>0.13600000000000001</v>
      </c>
      <c r="R79" s="6">
        <v>0.14299999999999999</v>
      </c>
      <c r="S79" s="6">
        <v>0.16</v>
      </c>
      <c r="T79" s="6">
        <v>0.14399999999999999</v>
      </c>
      <c r="U79" s="5">
        <v>0.19800000000000001</v>
      </c>
      <c r="V79" s="6">
        <v>0.156</v>
      </c>
      <c r="W79" s="6">
        <v>0.156</v>
      </c>
      <c r="X79" s="6">
        <v>0.159</v>
      </c>
      <c r="Y79" s="20">
        <v>0.53300000000000003</v>
      </c>
      <c r="Z79" s="6">
        <v>0.157</v>
      </c>
      <c r="AA79" s="4">
        <v>0.32200000000000001</v>
      </c>
      <c r="AB79" s="7">
        <v>490</v>
      </c>
      <c r="AC79" s="54" t="s">
        <v>0</v>
      </c>
      <c r="AD79" s="6">
        <v>0.14499999999999999</v>
      </c>
      <c r="AE79" s="6">
        <v>0.14699999999999999</v>
      </c>
      <c r="AF79" s="6">
        <v>0.14199999999999999</v>
      </c>
      <c r="AG79" s="6">
        <v>0.186</v>
      </c>
      <c r="AH79" s="6">
        <v>0.14799999999999999</v>
      </c>
      <c r="AI79" s="6">
        <v>0.19600000000000001</v>
      </c>
      <c r="AJ79" s="6">
        <v>0.152</v>
      </c>
      <c r="AK79" s="5">
        <v>0.248</v>
      </c>
      <c r="AL79" s="6">
        <v>0.184</v>
      </c>
      <c r="AM79" s="3">
        <v>0.504</v>
      </c>
      <c r="AN79" s="6">
        <v>0.157</v>
      </c>
      <c r="AO79" s="4">
        <v>0.312</v>
      </c>
      <c r="AP79" s="7">
        <v>490</v>
      </c>
      <c r="AQ79" s="54" t="s">
        <v>0</v>
      </c>
      <c r="AR79" s="3">
        <v>0.25800000000000001</v>
      </c>
      <c r="AS79" s="3">
        <v>0.24</v>
      </c>
      <c r="AT79" s="3">
        <v>0.23300000000000001</v>
      </c>
      <c r="AU79" s="4">
        <v>0.20300000000000001</v>
      </c>
      <c r="AV79" s="4">
        <v>0.20100000000000001</v>
      </c>
      <c r="AW79" s="3">
        <v>0.23699999999999999</v>
      </c>
      <c r="AX79" s="4">
        <v>0.19900000000000001</v>
      </c>
      <c r="AY79" s="5">
        <v>0.17299999999999999</v>
      </c>
      <c r="AZ79" s="6">
        <v>0.13100000000000001</v>
      </c>
      <c r="BA79" s="5">
        <v>0.157</v>
      </c>
      <c r="BB79" s="5">
        <v>0.17699999999999999</v>
      </c>
      <c r="BC79" s="5">
        <v>0.17699999999999999</v>
      </c>
      <c r="BD79" s="7">
        <v>490</v>
      </c>
    </row>
    <row r="80" spans="1:56">
      <c r="A80" s="55"/>
      <c r="B80" s="14">
        <v>0.10199999999999999</v>
      </c>
      <c r="C80" s="14">
        <v>0.108</v>
      </c>
      <c r="D80" s="21">
        <v>0.121</v>
      </c>
      <c r="E80" s="21">
        <v>0.125</v>
      </c>
      <c r="F80" s="14">
        <v>0.1</v>
      </c>
      <c r="G80" s="21">
        <v>0.12</v>
      </c>
      <c r="H80" s="14">
        <v>8.7999999999999995E-2</v>
      </c>
      <c r="I80" s="14">
        <v>9.8000000000000004E-2</v>
      </c>
      <c r="J80" s="14">
        <v>0.107</v>
      </c>
      <c r="K80" s="11">
        <v>0.318</v>
      </c>
      <c r="L80" s="21">
        <v>0.113</v>
      </c>
      <c r="M80" s="28">
        <v>0.17199999999999999</v>
      </c>
      <c r="N80" s="7">
        <v>750</v>
      </c>
      <c r="O80" s="55"/>
      <c r="P80" s="21">
        <v>0.10100000000000001</v>
      </c>
      <c r="Q80" s="14">
        <v>9.2999999999999999E-2</v>
      </c>
      <c r="R80" s="21">
        <v>0.10100000000000001</v>
      </c>
      <c r="S80" s="21">
        <v>0.111</v>
      </c>
      <c r="T80" s="21">
        <v>0.10299999999999999</v>
      </c>
      <c r="U80" s="21">
        <v>0.124</v>
      </c>
      <c r="V80" s="21">
        <v>0.106</v>
      </c>
      <c r="W80" s="21">
        <v>0.10100000000000001</v>
      </c>
      <c r="X80" s="21">
        <v>0.112</v>
      </c>
      <c r="Y80" s="12">
        <v>0.307</v>
      </c>
      <c r="Z80" s="21">
        <v>0.106</v>
      </c>
      <c r="AA80" s="29">
        <v>0.18</v>
      </c>
      <c r="AB80" s="7">
        <v>750</v>
      </c>
      <c r="AC80" s="55"/>
      <c r="AD80" s="21">
        <v>0.1</v>
      </c>
      <c r="AE80" s="21">
        <v>0.1</v>
      </c>
      <c r="AF80" s="21">
        <v>0.1</v>
      </c>
      <c r="AG80" s="21">
        <v>0.122</v>
      </c>
      <c r="AH80" s="21">
        <v>0.104</v>
      </c>
      <c r="AI80" s="21">
        <v>0.122</v>
      </c>
      <c r="AJ80" s="21">
        <v>0.112</v>
      </c>
      <c r="AK80" s="28">
        <v>0.13900000000000001</v>
      </c>
      <c r="AL80" s="21">
        <v>0.121</v>
      </c>
      <c r="AM80" s="11">
        <v>0.28899999999999998</v>
      </c>
      <c r="AN80" s="21">
        <v>0.108</v>
      </c>
      <c r="AO80" s="29">
        <v>0.17699999999999999</v>
      </c>
      <c r="AP80" s="7">
        <v>750</v>
      </c>
      <c r="AQ80" s="55"/>
      <c r="AR80" s="8">
        <v>0.251</v>
      </c>
      <c r="AS80" s="9">
        <v>0.24299999999999999</v>
      </c>
      <c r="AT80" s="10">
        <v>0.22900000000000001</v>
      </c>
      <c r="AU80" s="11">
        <v>0.18</v>
      </c>
      <c r="AV80" s="12">
        <v>0.19400000000000001</v>
      </c>
      <c r="AW80" s="10">
        <v>0.216</v>
      </c>
      <c r="AX80" s="12">
        <v>0.19</v>
      </c>
      <c r="AY80" s="13">
        <v>0.14099999999999999</v>
      </c>
      <c r="AZ80" s="14">
        <v>6.4000000000000001E-2</v>
      </c>
      <c r="BA80" s="13">
        <v>0.13900000000000001</v>
      </c>
      <c r="BB80" s="11">
        <v>0.16700000000000001</v>
      </c>
      <c r="BC80" s="14">
        <v>6.9000000000000006E-2</v>
      </c>
      <c r="BD80" s="7">
        <v>750</v>
      </c>
    </row>
    <row r="81" spans="1:56">
      <c r="A81" s="54" t="s">
        <v>1</v>
      </c>
      <c r="B81" s="6">
        <v>0.14899999999999999</v>
      </c>
      <c r="C81" s="6">
        <v>0.13600000000000001</v>
      </c>
      <c r="D81" s="5">
        <v>0.247</v>
      </c>
      <c r="E81" s="4">
        <v>0.33600000000000002</v>
      </c>
      <c r="F81" s="3">
        <v>0.44900000000000001</v>
      </c>
      <c r="G81" s="22">
        <v>0.75800000000000001</v>
      </c>
      <c r="H81" s="3">
        <v>0.48799999999999999</v>
      </c>
      <c r="I81" s="6">
        <v>0.16700000000000001</v>
      </c>
      <c r="J81" s="4">
        <v>0.34699999999999998</v>
      </c>
      <c r="K81" s="16">
        <v>0.81200000000000006</v>
      </c>
      <c r="L81" s="6">
        <v>0.20899999999999999</v>
      </c>
      <c r="M81" s="6">
        <v>0.13900000000000001</v>
      </c>
      <c r="N81" s="7">
        <v>490</v>
      </c>
      <c r="O81" s="54" t="s">
        <v>1</v>
      </c>
      <c r="P81" s="6">
        <v>0.151</v>
      </c>
      <c r="Q81" s="6">
        <v>0.13100000000000001</v>
      </c>
      <c r="R81" s="5">
        <v>0.22</v>
      </c>
      <c r="S81" s="3">
        <v>0.4</v>
      </c>
      <c r="T81" s="3">
        <v>0.46200000000000002</v>
      </c>
      <c r="U81" s="16">
        <v>0.71499999999999997</v>
      </c>
      <c r="V81" s="20">
        <v>0.53700000000000003</v>
      </c>
      <c r="W81" s="5">
        <v>0.222</v>
      </c>
      <c r="X81" s="3">
        <v>0.41</v>
      </c>
      <c r="Y81" s="16">
        <v>0.71799999999999997</v>
      </c>
      <c r="Z81" s="3">
        <v>0.44</v>
      </c>
      <c r="AA81" s="6">
        <v>0.14099999999999999</v>
      </c>
      <c r="AB81" s="7">
        <v>490</v>
      </c>
      <c r="AC81" s="54" t="s">
        <v>1</v>
      </c>
      <c r="AD81" s="6">
        <v>0.151</v>
      </c>
      <c r="AE81" s="6">
        <v>0.13600000000000001</v>
      </c>
      <c r="AF81" s="6">
        <v>0.19800000000000001</v>
      </c>
      <c r="AG81" s="4">
        <v>0.36199999999999999</v>
      </c>
      <c r="AH81" s="4">
        <v>0.372</v>
      </c>
      <c r="AI81" s="22">
        <v>0.68600000000000005</v>
      </c>
      <c r="AJ81" s="3">
        <v>0.499</v>
      </c>
      <c r="AK81" s="6">
        <v>0.19400000000000001</v>
      </c>
      <c r="AL81" s="5">
        <v>0.29299999999999998</v>
      </c>
      <c r="AM81" s="16">
        <v>0.747</v>
      </c>
      <c r="AN81" s="6">
        <v>0.19400000000000001</v>
      </c>
      <c r="AO81" s="6">
        <v>0.14099999999999999</v>
      </c>
      <c r="AP81" s="7">
        <v>490</v>
      </c>
      <c r="AQ81" s="54" t="s">
        <v>1</v>
      </c>
      <c r="AR81" s="3">
        <v>0.255</v>
      </c>
      <c r="AS81" s="3">
        <v>0.23599999999999999</v>
      </c>
      <c r="AT81" s="3">
        <v>0.26100000000000001</v>
      </c>
      <c r="AU81" s="5">
        <v>0.16800000000000001</v>
      </c>
      <c r="AV81" s="15">
        <v>0.41799999999999998</v>
      </c>
      <c r="AW81" s="3">
        <v>0.23300000000000001</v>
      </c>
      <c r="AX81" s="3">
        <v>0.24399999999999999</v>
      </c>
      <c r="AY81" s="5">
        <v>0.159</v>
      </c>
      <c r="AZ81" s="16">
        <v>0.34100000000000003</v>
      </c>
      <c r="BA81" s="4">
        <v>0.187</v>
      </c>
      <c r="BB81" s="5">
        <v>0.17699999999999999</v>
      </c>
      <c r="BC81" s="4">
        <v>0.216</v>
      </c>
      <c r="BD81" s="7">
        <v>490</v>
      </c>
    </row>
    <row r="82" spans="1:56">
      <c r="A82" s="55"/>
      <c r="B82" s="14">
        <v>0.10299999999999999</v>
      </c>
      <c r="C82" s="14">
        <v>9.5000000000000001E-2</v>
      </c>
      <c r="D82" s="21">
        <v>0.13</v>
      </c>
      <c r="E82" s="29">
        <v>0.20799999999999999</v>
      </c>
      <c r="F82" s="21">
        <v>0.13300000000000001</v>
      </c>
      <c r="G82" s="18">
        <v>0.374</v>
      </c>
      <c r="H82" s="11">
        <v>0.307</v>
      </c>
      <c r="I82" s="21">
        <v>0.111</v>
      </c>
      <c r="J82" s="21">
        <v>0.11</v>
      </c>
      <c r="K82" s="8">
        <v>0.48799999999999999</v>
      </c>
      <c r="L82" s="21">
        <v>0.13800000000000001</v>
      </c>
      <c r="M82" s="14">
        <v>8.8999999999999996E-2</v>
      </c>
      <c r="N82" s="7">
        <v>750</v>
      </c>
      <c r="O82" s="55"/>
      <c r="P82" s="21">
        <v>0.10299999999999999</v>
      </c>
      <c r="Q82" s="14">
        <v>9.0999999999999998E-2</v>
      </c>
      <c r="R82" s="21">
        <v>0.128</v>
      </c>
      <c r="S82" s="17">
        <v>0.23899999999999999</v>
      </c>
      <c r="T82" s="28">
        <v>0.13500000000000001</v>
      </c>
      <c r="U82" s="10">
        <v>0.35599999999999998</v>
      </c>
      <c r="V82" s="18">
        <v>0.33200000000000002</v>
      </c>
      <c r="W82" s="28">
        <v>0.14899999999999999</v>
      </c>
      <c r="X82" s="21">
        <v>0.124</v>
      </c>
      <c r="Y82" s="8">
        <v>0.42699999999999999</v>
      </c>
      <c r="Z82" s="29">
        <v>0.182</v>
      </c>
      <c r="AA82" s="14">
        <v>9.0999999999999998E-2</v>
      </c>
      <c r="AB82" s="7">
        <v>750</v>
      </c>
      <c r="AC82" s="55"/>
      <c r="AD82" s="21">
        <v>0.104</v>
      </c>
      <c r="AE82" s="14">
        <v>9.4E-2</v>
      </c>
      <c r="AF82" s="21">
        <v>0.125</v>
      </c>
      <c r="AG82" s="17">
        <v>0.248</v>
      </c>
      <c r="AH82" s="21">
        <v>0.129</v>
      </c>
      <c r="AI82" s="12">
        <v>0.33900000000000002</v>
      </c>
      <c r="AJ82" s="12">
        <v>0.32400000000000001</v>
      </c>
      <c r="AK82" s="21">
        <v>0.112</v>
      </c>
      <c r="AL82" s="21">
        <v>0.10299999999999999</v>
      </c>
      <c r="AM82" s="8">
        <v>0.45100000000000001</v>
      </c>
      <c r="AN82" s="28">
        <v>0.13400000000000001</v>
      </c>
      <c r="AO82" s="14">
        <v>9.1999999999999998E-2</v>
      </c>
      <c r="AP82" s="7">
        <v>750</v>
      </c>
      <c r="AQ82" s="55"/>
      <c r="AR82" s="8">
        <v>0.25700000000000001</v>
      </c>
      <c r="AS82" s="9">
        <v>0.247</v>
      </c>
      <c r="AT82" s="9">
        <v>0.23300000000000001</v>
      </c>
      <c r="AU82" s="17">
        <v>0.161</v>
      </c>
      <c r="AV82" s="18">
        <v>0.20499999999999999</v>
      </c>
      <c r="AW82" s="9">
        <v>0.23599999999999999</v>
      </c>
      <c r="AX82" s="8">
        <v>0.251</v>
      </c>
      <c r="AY82" s="17">
        <v>0.15</v>
      </c>
      <c r="AZ82" s="11">
        <v>0.16600000000000001</v>
      </c>
      <c r="BA82" s="12">
        <v>0.188</v>
      </c>
      <c r="BB82" s="11">
        <v>0.16800000000000001</v>
      </c>
      <c r="BC82" s="18">
        <v>0.20200000000000001</v>
      </c>
      <c r="BD82" s="7">
        <v>750</v>
      </c>
    </row>
    <row r="83" spans="1:56">
      <c r="A83" s="54" t="s">
        <v>2</v>
      </c>
      <c r="B83" s="5">
        <v>0.26900000000000002</v>
      </c>
      <c r="C83" s="6">
        <v>0.13800000000000001</v>
      </c>
      <c r="D83" s="6">
        <v>0.152</v>
      </c>
      <c r="E83" s="22">
        <v>0.77600000000000002</v>
      </c>
      <c r="F83" s="5">
        <v>0.23599999999999999</v>
      </c>
      <c r="G83" s="6">
        <v>0.17499999999999999</v>
      </c>
      <c r="H83" s="6">
        <v>0.16</v>
      </c>
      <c r="I83" s="6">
        <v>0.20699999999999999</v>
      </c>
      <c r="J83" s="6">
        <v>0.159</v>
      </c>
      <c r="K83" s="6">
        <v>0.16</v>
      </c>
      <c r="L83" s="6">
        <v>0.156</v>
      </c>
      <c r="M83" s="15">
        <v>1.0029999999999999</v>
      </c>
      <c r="N83" s="7">
        <v>490</v>
      </c>
      <c r="O83" s="54" t="s">
        <v>2</v>
      </c>
      <c r="P83" s="6">
        <v>0.16</v>
      </c>
      <c r="Q83" s="6">
        <v>0.14699999999999999</v>
      </c>
      <c r="R83" s="6">
        <v>0.17299999999999999</v>
      </c>
      <c r="S83" s="15">
        <v>0.84899999999999998</v>
      </c>
      <c r="T83" s="4">
        <v>0.29399999999999998</v>
      </c>
      <c r="U83" s="6">
        <v>0.159</v>
      </c>
      <c r="V83" s="5">
        <v>0.19900000000000001</v>
      </c>
      <c r="W83" s="5">
        <v>0.21</v>
      </c>
      <c r="X83" s="5">
        <v>0.2</v>
      </c>
      <c r="Y83" s="5">
        <v>0.19500000000000001</v>
      </c>
      <c r="Z83" s="6">
        <v>0.16300000000000001</v>
      </c>
      <c r="AA83" s="24">
        <v>0.94899999999999995</v>
      </c>
      <c r="AB83" s="7">
        <v>490</v>
      </c>
      <c r="AC83" s="54" t="s">
        <v>2</v>
      </c>
      <c r="AD83" s="5">
        <v>0.218</v>
      </c>
      <c r="AE83" s="6">
        <v>0.14499999999999999</v>
      </c>
      <c r="AF83" s="6">
        <v>0.152</v>
      </c>
      <c r="AG83" s="16">
        <v>0.82599999999999996</v>
      </c>
      <c r="AH83" s="20">
        <v>0.59499999999999997</v>
      </c>
      <c r="AI83" s="6">
        <v>0.154</v>
      </c>
      <c r="AJ83" s="6">
        <v>0.16200000000000001</v>
      </c>
      <c r="AK83" s="6">
        <v>0.184</v>
      </c>
      <c r="AL83" s="6">
        <v>0.157</v>
      </c>
      <c r="AM83" s="5">
        <v>0.21299999999999999</v>
      </c>
      <c r="AN83" s="6">
        <v>0.153</v>
      </c>
      <c r="AO83" s="23">
        <v>0.99199999999999999</v>
      </c>
      <c r="AP83" s="7">
        <v>490</v>
      </c>
      <c r="AQ83" s="54" t="s">
        <v>2</v>
      </c>
      <c r="AR83" s="3">
        <v>0.26100000000000001</v>
      </c>
      <c r="AS83" s="4">
        <v>0.221</v>
      </c>
      <c r="AT83" s="4">
        <v>0.218</v>
      </c>
      <c r="AU83" s="5">
        <v>0.17699999999999999</v>
      </c>
      <c r="AV83" s="4">
        <v>0.19</v>
      </c>
      <c r="AW83" s="5">
        <v>0.159</v>
      </c>
      <c r="AX83" s="3">
        <v>0.25900000000000001</v>
      </c>
      <c r="AY83" s="4">
        <v>0.19500000000000001</v>
      </c>
      <c r="AZ83" s="5">
        <v>0.17799999999999999</v>
      </c>
      <c r="BA83" s="6">
        <v>0.13100000000000001</v>
      </c>
      <c r="BB83" s="6">
        <v>0.13800000000000001</v>
      </c>
      <c r="BC83" s="3">
        <v>0.22900000000000001</v>
      </c>
      <c r="BD83" s="7">
        <v>490</v>
      </c>
    </row>
    <row r="84" spans="1:56">
      <c r="A84" s="55"/>
      <c r="B84" s="21">
        <v>0.13400000000000001</v>
      </c>
      <c r="C84" s="14">
        <v>9.4E-2</v>
      </c>
      <c r="D84" s="14">
        <v>0.106</v>
      </c>
      <c r="E84" s="9">
        <v>0.45400000000000001</v>
      </c>
      <c r="F84" s="28">
        <v>0.16</v>
      </c>
      <c r="G84" s="21">
        <v>0.11600000000000001</v>
      </c>
      <c r="H84" s="21">
        <v>0.11</v>
      </c>
      <c r="I84" s="14">
        <v>0.10299999999999999</v>
      </c>
      <c r="J84" s="21">
        <v>0.111</v>
      </c>
      <c r="K84" s="14">
        <v>0.108</v>
      </c>
      <c r="L84" s="21">
        <v>0.111</v>
      </c>
      <c r="M84" s="26">
        <v>0.56899999999999995</v>
      </c>
      <c r="N84" s="7">
        <v>750</v>
      </c>
      <c r="O84" s="55"/>
      <c r="P84" s="21">
        <v>0.107</v>
      </c>
      <c r="Q84" s="21">
        <v>0.1</v>
      </c>
      <c r="R84" s="21">
        <v>0.114</v>
      </c>
      <c r="S84" s="26">
        <v>0.48799999999999999</v>
      </c>
      <c r="T84" s="13">
        <v>0.19500000000000001</v>
      </c>
      <c r="U84" s="21">
        <v>0.112</v>
      </c>
      <c r="V84" s="21">
        <v>0.114</v>
      </c>
      <c r="W84" s="21">
        <v>0.107</v>
      </c>
      <c r="X84" s="28">
        <v>0.13900000000000001</v>
      </c>
      <c r="Y84" s="21">
        <v>0.105</v>
      </c>
      <c r="Z84" s="21">
        <v>0.114</v>
      </c>
      <c r="AA84" s="26">
        <v>0.51700000000000002</v>
      </c>
      <c r="AB84" s="7">
        <v>750</v>
      </c>
      <c r="AC84" s="55"/>
      <c r="AD84" s="21">
        <v>0.112</v>
      </c>
      <c r="AE84" s="21">
        <v>0.1</v>
      </c>
      <c r="AF84" s="21">
        <v>0.106</v>
      </c>
      <c r="AG84" s="19">
        <v>0.498</v>
      </c>
      <c r="AH84" s="18">
        <v>0.36399999999999999</v>
      </c>
      <c r="AI84" s="21">
        <v>0.109</v>
      </c>
      <c r="AJ84" s="21">
        <v>0.112</v>
      </c>
      <c r="AK84" s="21">
        <v>0.105</v>
      </c>
      <c r="AL84" s="21">
        <v>0.11</v>
      </c>
      <c r="AM84" s="28">
        <v>0.14599999999999999</v>
      </c>
      <c r="AN84" s="21">
        <v>0.11</v>
      </c>
      <c r="AO84" s="26">
        <v>0.55300000000000005</v>
      </c>
      <c r="AP84" s="7">
        <v>750</v>
      </c>
      <c r="AQ84" s="55"/>
      <c r="AR84" s="8">
        <v>0.251</v>
      </c>
      <c r="AS84" s="10">
        <v>0.22800000000000001</v>
      </c>
      <c r="AT84" s="10">
        <v>0.22800000000000001</v>
      </c>
      <c r="AU84" s="11">
        <v>0.18</v>
      </c>
      <c r="AV84" s="12">
        <v>0.192</v>
      </c>
      <c r="AW84" s="17">
        <v>0.154</v>
      </c>
      <c r="AX84" s="19">
        <v>0.26700000000000002</v>
      </c>
      <c r="AY84" s="12">
        <v>0.19400000000000001</v>
      </c>
      <c r="AZ84" s="11">
        <v>0.18099999999999999</v>
      </c>
      <c r="BA84" s="13">
        <v>0.13500000000000001</v>
      </c>
      <c r="BB84" s="13">
        <v>0.13800000000000001</v>
      </c>
      <c r="BC84" s="17">
        <v>0.16500000000000001</v>
      </c>
      <c r="BD84" s="7">
        <v>750</v>
      </c>
    </row>
    <row r="85" spans="1:56">
      <c r="A85" s="54" t="s">
        <v>3</v>
      </c>
      <c r="B85" s="5">
        <v>0.28799999999999998</v>
      </c>
      <c r="C85" s="6">
        <v>0.14499999999999999</v>
      </c>
      <c r="D85" s="6">
        <v>0.14699999999999999</v>
      </c>
      <c r="E85" s="6">
        <v>0.15</v>
      </c>
      <c r="F85" s="6">
        <v>0.14599999999999999</v>
      </c>
      <c r="G85" s="5">
        <v>0.29599999999999999</v>
      </c>
      <c r="H85" s="20">
        <v>0.63400000000000001</v>
      </c>
      <c r="I85" s="20">
        <v>0.65100000000000002</v>
      </c>
      <c r="J85" s="6">
        <v>0.14000000000000001</v>
      </c>
      <c r="K85" s="25">
        <v>1.69</v>
      </c>
      <c r="L85" s="6">
        <v>0.14299999999999999</v>
      </c>
      <c r="M85" s="6">
        <v>0.14099999999999999</v>
      </c>
      <c r="N85" s="7">
        <v>490</v>
      </c>
      <c r="O85" s="54" t="s">
        <v>3</v>
      </c>
      <c r="P85" s="6">
        <v>0.152</v>
      </c>
      <c r="Q85" s="6">
        <v>0.14499999999999999</v>
      </c>
      <c r="R85" s="5">
        <v>0.217</v>
      </c>
      <c r="S85" s="6">
        <v>0.153</v>
      </c>
      <c r="T85" s="5">
        <v>0.21299999999999999</v>
      </c>
      <c r="U85" s="4">
        <v>0.34</v>
      </c>
      <c r="V85" s="16">
        <v>0.68600000000000005</v>
      </c>
      <c r="W85" s="23">
        <v>0.88200000000000001</v>
      </c>
      <c r="X85" s="6">
        <v>0.17199999999999999</v>
      </c>
      <c r="Y85" s="6">
        <v>0.159</v>
      </c>
      <c r="Z85" s="6">
        <v>0.14499999999999999</v>
      </c>
      <c r="AA85" s="6">
        <v>0.14000000000000001</v>
      </c>
      <c r="AB85" s="7">
        <v>490</v>
      </c>
      <c r="AC85" s="54" t="s">
        <v>3</v>
      </c>
      <c r="AD85" s="4">
        <v>0.37</v>
      </c>
      <c r="AE85" s="6">
        <v>0.14599999999999999</v>
      </c>
      <c r="AF85" s="6">
        <v>0.18099999999999999</v>
      </c>
      <c r="AG85" s="6">
        <v>0.16500000000000001</v>
      </c>
      <c r="AH85" s="6">
        <v>0.159</v>
      </c>
      <c r="AI85" s="5">
        <v>0.26700000000000002</v>
      </c>
      <c r="AJ85" s="22">
        <v>0.73799999999999999</v>
      </c>
      <c r="AK85" s="16">
        <v>0.82899999999999996</v>
      </c>
      <c r="AL85" s="6">
        <v>0.14399999999999999</v>
      </c>
      <c r="AM85" s="6">
        <v>0.16400000000000001</v>
      </c>
      <c r="AN85" s="6">
        <v>0.14099999999999999</v>
      </c>
      <c r="AO85" s="6">
        <v>0.14000000000000001</v>
      </c>
      <c r="AP85" s="7">
        <v>490</v>
      </c>
      <c r="AQ85" s="54" t="s">
        <v>3</v>
      </c>
      <c r="AR85" s="6">
        <v>0.123</v>
      </c>
      <c r="AS85" s="4">
        <v>0.20899999999999999</v>
      </c>
      <c r="AT85" s="4">
        <v>0.19700000000000001</v>
      </c>
      <c r="AU85" s="4">
        <v>0.192</v>
      </c>
      <c r="AV85" s="5">
        <v>0.156</v>
      </c>
      <c r="AW85" s="3">
        <v>0.22500000000000001</v>
      </c>
      <c r="AX85" s="20">
        <v>0.27400000000000002</v>
      </c>
      <c r="AY85" s="4">
        <v>0.19900000000000001</v>
      </c>
      <c r="AZ85" s="4">
        <v>0.191</v>
      </c>
      <c r="BA85" s="4">
        <v>0.186</v>
      </c>
      <c r="BB85" s="5">
        <v>0.18099999999999999</v>
      </c>
      <c r="BC85" s="4">
        <v>0.19800000000000001</v>
      </c>
      <c r="BD85" s="7">
        <v>490</v>
      </c>
    </row>
    <row r="86" spans="1:56">
      <c r="A86" s="55"/>
      <c r="B86" s="28">
        <v>0.16</v>
      </c>
      <c r="C86" s="14">
        <v>0.10299999999999999</v>
      </c>
      <c r="D86" s="14">
        <v>0.10199999999999999</v>
      </c>
      <c r="E86" s="14">
        <v>0.08</v>
      </c>
      <c r="F86" s="14">
        <v>0.10199999999999999</v>
      </c>
      <c r="G86" s="28">
        <v>0.14899999999999999</v>
      </c>
      <c r="H86" s="17">
        <v>0.28100000000000003</v>
      </c>
      <c r="I86" s="11">
        <v>0.317</v>
      </c>
      <c r="J86" s="14">
        <v>9.5000000000000001E-2</v>
      </c>
      <c r="K86" s="26">
        <v>0.59799999999999998</v>
      </c>
      <c r="L86" s="14">
        <v>0.1</v>
      </c>
      <c r="M86" s="14">
        <v>9.8000000000000004E-2</v>
      </c>
      <c r="N86" s="7">
        <v>750</v>
      </c>
      <c r="O86" s="55"/>
      <c r="P86" s="21">
        <v>0.10299999999999999</v>
      </c>
      <c r="Q86" s="21">
        <v>0.10199999999999999</v>
      </c>
      <c r="R86" s="21">
        <v>0.12</v>
      </c>
      <c r="S86" s="14">
        <v>0.08</v>
      </c>
      <c r="T86" s="28">
        <v>0.13300000000000001</v>
      </c>
      <c r="U86" s="28">
        <v>0.151</v>
      </c>
      <c r="V86" s="12">
        <v>0.307</v>
      </c>
      <c r="W86" s="26">
        <v>0.5</v>
      </c>
      <c r="X86" s="14">
        <v>9.7000000000000003E-2</v>
      </c>
      <c r="Y86" s="21">
        <v>0.113</v>
      </c>
      <c r="Z86" s="21">
        <v>0.10100000000000001</v>
      </c>
      <c r="AA86" s="14">
        <v>9.7000000000000003E-2</v>
      </c>
      <c r="AB86" s="7">
        <v>750</v>
      </c>
      <c r="AC86" s="55"/>
      <c r="AD86" s="13">
        <v>0.20799999999999999</v>
      </c>
      <c r="AE86" s="21">
        <v>0.10199999999999999</v>
      </c>
      <c r="AF86" s="21">
        <v>0.11799999999999999</v>
      </c>
      <c r="AG86" s="21">
        <v>0.10199999999999999</v>
      </c>
      <c r="AH86" s="21">
        <v>0.111</v>
      </c>
      <c r="AI86" s="28">
        <v>0.15</v>
      </c>
      <c r="AJ86" s="12">
        <v>0.34100000000000003</v>
      </c>
      <c r="AK86" s="9">
        <v>0.42899999999999999</v>
      </c>
      <c r="AL86" s="21">
        <v>9.8000000000000004E-2</v>
      </c>
      <c r="AM86" s="21">
        <v>0.11700000000000001</v>
      </c>
      <c r="AN86" s="21">
        <v>0.1</v>
      </c>
      <c r="AO86" s="21">
        <v>9.8000000000000004E-2</v>
      </c>
      <c r="AP86" s="7">
        <v>750</v>
      </c>
      <c r="AQ86" s="55"/>
      <c r="AR86" s="21">
        <v>9.4E-2</v>
      </c>
      <c r="AS86" s="10">
        <v>0.221</v>
      </c>
      <c r="AT86" s="18">
        <v>0.20100000000000001</v>
      </c>
      <c r="AU86" s="17">
        <v>0.159</v>
      </c>
      <c r="AV86" s="17">
        <v>0.152</v>
      </c>
      <c r="AW86" s="17">
        <v>0.158</v>
      </c>
      <c r="AX86" s="19">
        <v>0.27700000000000002</v>
      </c>
      <c r="AY86" s="18">
        <v>0.19900000000000001</v>
      </c>
      <c r="AZ86" s="12">
        <v>0.19700000000000001</v>
      </c>
      <c r="BA86" s="12">
        <v>0.193</v>
      </c>
      <c r="BB86" s="12">
        <v>0.184</v>
      </c>
      <c r="BC86" s="11">
        <v>0.17799999999999999</v>
      </c>
      <c r="BD86" s="7">
        <v>750</v>
      </c>
    </row>
    <row r="87" spans="1:56">
      <c r="A87" s="54" t="s">
        <v>4</v>
      </c>
      <c r="B87" s="6">
        <v>0.106</v>
      </c>
      <c r="C87" s="6">
        <v>0.13200000000000001</v>
      </c>
      <c r="D87" s="6">
        <v>0.14399999999999999</v>
      </c>
      <c r="E87" s="5">
        <v>0.28999999999999998</v>
      </c>
      <c r="F87" s="4">
        <v>0.435</v>
      </c>
      <c r="G87" s="6">
        <v>0.157</v>
      </c>
      <c r="H87" s="6">
        <v>0.155</v>
      </c>
      <c r="I87" s="24">
        <v>1.151</v>
      </c>
      <c r="J87" s="16">
        <v>0.88900000000000001</v>
      </c>
      <c r="K87" s="6">
        <v>0.151</v>
      </c>
      <c r="L87" s="6">
        <v>0.13800000000000001</v>
      </c>
      <c r="M87" s="4">
        <v>0.432</v>
      </c>
      <c r="N87" s="7">
        <v>490</v>
      </c>
      <c r="O87" s="54" t="s">
        <v>4</v>
      </c>
      <c r="P87" s="6">
        <v>0.1</v>
      </c>
      <c r="Q87" s="6">
        <v>0.13</v>
      </c>
      <c r="R87" s="6">
        <v>0.14799999999999999</v>
      </c>
      <c r="S87" s="4">
        <v>0.29099999999999998</v>
      </c>
      <c r="T87" s="3">
        <v>0.45900000000000002</v>
      </c>
      <c r="U87" s="6">
        <v>0.187</v>
      </c>
      <c r="V87" s="6">
        <v>0.16200000000000001</v>
      </c>
      <c r="W87" s="6">
        <v>0.191</v>
      </c>
      <c r="X87" s="22">
        <v>0.66200000000000003</v>
      </c>
      <c r="Y87" s="6">
        <v>0.153</v>
      </c>
      <c r="Z87" s="6">
        <v>0.16900000000000001</v>
      </c>
      <c r="AA87" s="3">
        <v>0.45800000000000002</v>
      </c>
      <c r="AB87" s="7">
        <v>490</v>
      </c>
      <c r="AC87" s="54" t="s">
        <v>4</v>
      </c>
      <c r="AD87" s="6">
        <v>0.09</v>
      </c>
      <c r="AE87" s="6">
        <v>0.13300000000000001</v>
      </c>
      <c r="AF87" s="3">
        <v>0.45400000000000001</v>
      </c>
      <c r="AG87" s="5">
        <v>0.29399999999999998</v>
      </c>
      <c r="AH87" s="3">
        <v>0.46800000000000003</v>
      </c>
      <c r="AI87" s="6">
        <v>0.153</v>
      </c>
      <c r="AJ87" s="6">
        <v>0.159</v>
      </c>
      <c r="AK87" s="32">
        <v>1.3720000000000001</v>
      </c>
      <c r="AL87" s="22">
        <v>0.66400000000000003</v>
      </c>
      <c r="AM87" s="6">
        <v>0.19</v>
      </c>
      <c r="AN87" s="6">
        <v>0.14099999999999999</v>
      </c>
      <c r="AO87" s="3">
        <v>0.41899999999999998</v>
      </c>
      <c r="AP87" s="7">
        <v>490</v>
      </c>
      <c r="AQ87" s="54" t="s">
        <v>4</v>
      </c>
      <c r="AR87" s="3">
        <v>0.255</v>
      </c>
      <c r="AS87" s="3">
        <v>0.23100000000000001</v>
      </c>
      <c r="AT87" s="5">
        <v>0.15</v>
      </c>
      <c r="AU87" s="22">
        <v>0.318</v>
      </c>
      <c r="AV87" s="23">
        <v>0.43</v>
      </c>
      <c r="AW87" s="5">
        <v>0.14799999999999999</v>
      </c>
      <c r="AX87" s="20">
        <v>0.26100000000000001</v>
      </c>
      <c r="AY87" s="5">
        <v>0.153</v>
      </c>
      <c r="AZ87" s="3">
        <v>0.23100000000000001</v>
      </c>
      <c r="BA87" s="4">
        <v>0.19800000000000001</v>
      </c>
      <c r="BB87" s="4">
        <v>0.20699999999999999</v>
      </c>
      <c r="BC87" s="24">
        <v>0.46300000000000002</v>
      </c>
      <c r="BD87" s="7">
        <v>490</v>
      </c>
    </row>
    <row r="88" spans="1:56">
      <c r="A88" s="55"/>
      <c r="B88" s="14">
        <v>7.1999999999999995E-2</v>
      </c>
      <c r="C88" s="14">
        <v>9.1999999999999998E-2</v>
      </c>
      <c r="D88" s="14">
        <v>0.10199999999999999</v>
      </c>
      <c r="E88" s="29">
        <v>0.21199999999999999</v>
      </c>
      <c r="F88" s="14">
        <v>9.0999999999999998E-2</v>
      </c>
      <c r="G88" s="14">
        <v>0.106</v>
      </c>
      <c r="H88" s="14">
        <v>0.106</v>
      </c>
      <c r="I88" s="11">
        <v>0.32400000000000001</v>
      </c>
      <c r="J88" s="11">
        <v>0.30199999999999999</v>
      </c>
      <c r="K88" s="14">
        <v>0.10100000000000001</v>
      </c>
      <c r="L88" s="14">
        <v>9.9000000000000005E-2</v>
      </c>
      <c r="M88" s="21">
        <v>0.114</v>
      </c>
      <c r="N88" s="7">
        <v>750</v>
      </c>
      <c r="O88" s="55"/>
      <c r="P88" s="14">
        <v>6.5000000000000002E-2</v>
      </c>
      <c r="Q88" s="14">
        <v>0.09</v>
      </c>
      <c r="R88" s="21">
        <v>0.106</v>
      </c>
      <c r="S88" s="13">
        <v>0.215</v>
      </c>
      <c r="T88" s="14">
        <v>9.7000000000000003E-2</v>
      </c>
      <c r="U88" s="21">
        <v>0.107</v>
      </c>
      <c r="V88" s="21">
        <v>0.109</v>
      </c>
      <c r="W88" s="28">
        <v>0.13300000000000001</v>
      </c>
      <c r="X88" s="13">
        <v>0.20300000000000001</v>
      </c>
      <c r="Y88" s="21">
        <v>0.10100000000000001</v>
      </c>
      <c r="Z88" s="21">
        <v>0.11</v>
      </c>
      <c r="AA88" s="21">
        <v>0.11600000000000001</v>
      </c>
      <c r="AB88" s="7">
        <v>750</v>
      </c>
      <c r="AC88" s="55"/>
      <c r="AD88" s="14">
        <v>0.06</v>
      </c>
      <c r="AE88" s="14">
        <v>9.1999999999999998E-2</v>
      </c>
      <c r="AF88" s="28">
        <v>0.159</v>
      </c>
      <c r="AG88" s="13">
        <v>0.20499999999999999</v>
      </c>
      <c r="AH88" s="14">
        <v>9.6000000000000002E-2</v>
      </c>
      <c r="AI88" s="21">
        <v>0.104</v>
      </c>
      <c r="AJ88" s="21">
        <v>0.108</v>
      </c>
      <c r="AK88" s="19">
        <v>0.495</v>
      </c>
      <c r="AL88" s="13">
        <v>0.23300000000000001</v>
      </c>
      <c r="AM88" s="21">
        <v>0.126</v>
      </c>
      <c r="AN88" s="21">
        <v>0.10199999999999999</v>
      </c>
      <c r="AO88" s="21">
        <v>0.115</v>
      </c>
      <c r="AP88" s="7">
        <v>750</v>
      </c>
      <c r="AQ88" s="55"/>
      <c r="AR88" s="9">
        <v>0.248</v>
      </c>
      <c r="AS88" s="9">
        <v>0.24099999999999999</v>
      </c>
      <c r="AT88" s="17">
        <v>0.155</v>
      </c>
      <c r="AU88" s="19">
        <v>0.27400000000000002</v>
      </c>
      <c r="AV88" s="11">
        <v>0.18099999999999999</v>
      </c>
      <c r="AW88" s="13">
        <v>0.14399999999999999</v>
      </c>
      <c r="AX88" s="9">
        <v>0.23499999999999999</v>
      </c>
      <c r="AY88" s="17">
        <v>0.15</v>
      </c>
      <c r="AZ88" s="9">
        <v>0.23699999999999999</v>
      </c>
      <c r="BA88" s="12">
        <v>0.189</v>
      </c>
      <c r="BB88" s="10">
        <v>0.222</v>
      </c>
      <c r="BC88" s="12">
        <v>0.19</v>
      </c>
      <c r="BD88" s="7">
        <v>750</v>
      </c>
    </row>
    <row r="89" spans="1:56">
      <c r="A89" s="54" t="s">
        <v>5</v>
      </c>
      <c r="B89" s="6">
        <v>0.13700000000000001</v>
      </c>
      <c r="C89" s="6">
        <v>0.13600000000000001</v>
      </c>
      <c r="D89" s="6">
        <v>0.16600000000000001</v>
      </c>
      <c r="E89" s="6">
        <v>0.152</v>
      </c>
      <c r="F89" s="5">
        <v>0.28100000000000003</v>
      </c>
      <c r="G89" s="6">
        <v>0.15</v>
      </c>
      <c r="H89" s="6">
        <v>0.16300000000000001</v>
      </c>
      <c r="I89" s="6">
        <v>0.156</v>
      </c>
      <c r="J89" s="5">
        <v>0.28199999999999997</v>
      </c>
      <c r="K89" s="6">
        <v>0.14299999999999999</v>
      </c>
      <c r="L89" s="6">
        <v>0.14199999999999999</v>
      </c>
      <c r="M89" s="20">
        <v>0.63800000000000001</v>
      </c>
      <c r="N89" s="7">
        <v>490</v>
      </c>
      <c r="O89" s="54" t="s">
        <v>5</v>
      </c>
      <c r="P89" s="3">
        <v>0.40200000000000002</v>
      </c>
      <c r="Q89" s="6">
        <v>0.13600000000000001</v>
      </c>
      <c r="R89" s="6">
        <v>0.14599999999999999</v>
      </c>
      <c r="S89" s="6">
        <v>0.14899999999999999</v>
      </c>
      <c r="T89" s="4">
        <v>0.31900000000000001</v>
      </c>
      <c r="U89" s="6">
        <v>0.17699999999999999</v>
      </c>
      <c r="V89" s="6">
        <v>0.154</v>
      </c>
      <c r="W89" s="6">
        <v>0.18099999999999999</v>
      </c>
      <c r="X89" s="4">
        <v>0.317</v>
      </c>
      <c r="Y89" s="6">
        <v>0.14399999999999999</v>
      </c>
      <c r="Z89" s="6">
        <v>0.14799999999999999</v>
      </c>
      <c r="AA89" s="6">
        <v>0.13500000000000001</v>
      </c>
      <c r="AB89" s="7">
        <v>490</v>
      </c>
      <c r="AC89" s="54" t="s">
        <v>5</v>
      </c>
      <c r="AD89" s="6">
        <v>0.13600000000000001</v>
      </c>
      <c r="AE89" s="6">
        <v>0.14099999999999999</v>
      </c>
      <c r="AF89" s="5">
        <v>0.248</v>
      </c>
      <c r="AG89" s="6">
        <v>0.189</v>
      </c>
      <c r="AH89" s="5">
        <v>0.2</v>
      </c>
      <c r="AI89" s="6">
        <v>0.18</v>
      </c>
      <c r="AJ89" s="6">
        <v>0.183</v>
      </c>
      <c r="AK89" s="6">
        <v>0.13900000000000001</v>
      </c>
      <c r="AL89" s="5">
        <v>0.28499999999999998</v>
      </c>
      <c r="AM89" s="20">
        <v>0.629</v>
      </c>
      <c r="AN89" s="6">
        <v>0.13600000000000001</v>
      </c>
      <c r="AO89" s="6">
        <v>0.13900000000000001</v>
      </c>
      <c r="AP89" s="7">
        <v>490</v>
      </c>
      <c r="AQ89" s="54" t="s">
        <v>5</v>
      </c>
      <c r="AR89" s="4">
        <v>0.20300000000000001</v>
      </c>
      <c r="AS89" s="4">
        <v>0.19600000000000001</v>
      </c>
      <c r="AT89" s="4">
        <v>0.192</v>
      </c>
      <c r="AU89" s="4">
        <v>0.20100000000000001</v>
      </c>
      <c r="AV89" s="4">
        <v>0.19800000000000001</v>
      </c>
      <c r="AW89" s="3">
        <v>0.22500000000000001</v>
      </c>
      <c r="AX89" s="4">
        <v>0.189</v>
      </c>
      <c r="AY89" s="3">
        <v>0.246</v>
      </c>
      <c r="AZ89" s="15">
        <v>0.39200000000000002</v>
      </c>
      <c r="BA89" s="4">
        <v>0.19600000000000001</v>
      </c>
      <c r="BB89" s="4">
        <v>0.22</v>
      </c>
      <c r="BC89" s="3">
        <v>0.22600000000000001</v>
      </c>
      <c r="BD89" s="7">
        <v>490</v>
      </c>
    </row>
    <row r="90" spans="1:56">
      <c r="A90" s="55"/>
      <c r="B90" s="14">
        <v>9.5000000000000001E-2</v>
      </c>
      <c r="C90" s="14">
        <v>9.5000000000000001E-2</v>
      </c>
      <c r="D90" s="14">
        <v>0.109</v>
      </c>
      <c r="E90" s="14">
        <v>0.108</v>
      </c>
      <c r="F90" s="14">
        <v>0.109</v>
      </c>
      <c r="G90" s="14">
        <v>0.10299999999999999</v>
      </c>
      <c r="H90" s="14">
        <v>0.108</v>
      </c>
      <c r="I90" s="14">
        <v>0.107</v>
      </c>
      <c r="J90" s="14">
        <v>9.5000000000000001E-2</v>
      </c>
      <c r="K90" s="14">
        <v>9.9000000000000005E-2</v>
      </c>
      <c r="L90" s="14">
        <v>9.8000000000000004E-2</v>
      </c>
      <c r="M90" s="28">
        <v>0.183</v>
      </c>
      <c r="N90" s="7">
        <v>750</v>
      </c>
      <c r="O90" s="55"/>
      <c r="P90" s="29">
        <v>0.187</v>
      </c>
      <c r="Q90" s="21">
        <v>9.7000000000000003E-2</v>
      </c>
      <c r="R90" s="21">
        <v>0.10299999999999999</v>
      </c>
      <c r="S90" s="21">
        <v>0.106</v>
      </c>
      <c r="T90" s="21">
        <v>0.122</v>
      </c>
      <c r="U90" s="21">
        <v>0.11899999999999999</v>
      </c>
      <c r="V90" s="21">
        <v>0.108</v>
      </c>
      <c r="W90" s="21">
        <v>0.127</v>
      </c>
      <c r="X90" s="21">
        <v>0.128</v>
      </c>
      <c r="Y90" s="21">
        <v>0.1</v>
      </c>
      <c r="Z90" s="21">
        <v>0.10199999999999999</v>
      </c>
      <c r="AA90" s="14">
        <v>9.0999999999999998E-2</v>
      </c>
      <c r="AB90" s="7">
        <v>750</v>
      </c>
      <c r="AC90" s="55"/>
      <c r="AD90" s="14">
        <v>9.2999999999999999E-2</v>
      </c>
      <c r="AE90" s="21">
        <v>0.1</v>
      </c>
      <c r="AF90" s="28">
        <v>0.13300000000000001</v>
      </c>
      <c r="AG90" s="21">
        <v>0.11600000000000001</v>
      </c>
      <c r="AH90" s="21">
        <v>0.10299999999999999</v>
      </c>
      <c r="AI90" s="21">
        <v>0.104</v>
      </c>
      <c r="AJ90" s="21">
        <v>0.11899999999999999</v>
      </c>
      <c r="AK90" s="21">
        <v>9.7000000000000003E-2</v>
      </c>
      <c r="AL90" s="21">
        <v>9.8000000000000004E-2</v>
      </c>
      <c r="AM90" s="13">
        <v>0.21</v>
      </c>
      <c r="AN90" s="14">
        <v>9.5000000000000001E-2</v>
      </c>
      <c r="AO90" s="14">
        <v>9.5000000000000001E-2</v>
      </c>
      <c r="AP90" s="7">
        <v>750</v>
      </c>
      <c r="AQ90" s="55"/>
      <c r="AR90" s="18">
        <v>0.20300000000000001</v>
      </c>
      <c r="AS90" s="18">
        <v>0.20399999999999999</v>
      </c>
      <c r="AT90" s="12">
        <v>0.19500000000000001</v>
      </c>
      <c r="AU90" s="18">
        <v>0.20300000000000001</v>
      </c>
      <c r="AV90" s="17">
        <v>0.151</v>
      </c>
      <c r="AW90" s="10">
        <v>0.22800000000000001</v>
      </c>
      <c r="AX90" s="12">
        <v>0.188</v>
      </c>
      <c r="AY90" s="8">
        <v>0.255</v>
      </c>
      <c r="AZ90" s="9">
        <v>0.23899999999999999</v>
      </c>
      <c r="BA90" s="18">
        <v>0.21</v>
      </c>
      <c r="BB90" s="9">
        <v>0.23400000000000001</v>
      </c>
      <c r="BC90" s="18">
        <v>0.21</v>
      </c>
      <c r="BD90" s="7">
        <v>750</v>
      </c>
    </row>
    <row r="91" spans="1:56">
      <c r="A91" s="54" t="s">
        <v>6</v>
      </c>
      <c r="B91" s="5">
        <v>0.23499999999999999</v>
      </c>
      <c r="C91" s="20">
        <v>0.59299999999999997</v>
      </c>
      <c r="D91" s="20">
        <v>0.56399999999999995</v>
      </c>
      <c r="E91" s="5">
        <v>0.23899999999999999</v>
      </c>
      <c r="F91" s="6">
        <v>0.11700000000000001</v>
      </c>
      <c r="G91" s="6">
        <v>0.14899999999999999</v>
      </c>
      <c r="H91" s="6">
        <v>0.13700000000000001</v>
      </c>
      <c r="I91" s="6">
        <v>0.14699999999999999</v>
      </c>
      <c r="J91" s="5">
        <v>0.27300000000000002</v>
      </c>
      <c r="K91" s="3">
        <v>0.45300000000000001</v>
      </c>
      <c r="L91" s="6">
        <v>0.125</v>
      </c>
      <c r="M91" s="6">
        <v>0.13900000000000001</v>
      </c>
      <c r="N91" s="7">
        <v>490</v>
      </c>
      <c r="O91" s="54" t="s">
        <v>6</v>
      </c>
      <c r="P91" s="6">
        <v>0.13500000000000001</v>
      </c>
      <c r="Q91" s="5">
        <v>0.23</v>
      </c>
      <c r="R91" s="6">
        <v>0.14299999999999999</v>
      </c>
      <c r="S91" s="5">
        <v>0.27700000000000002</v>
      </c>
      <c r="T91" s="6">
        <v>0.122</v>
      </c>
      <c r="U91" s="6">
        <v>0.14799999999999999</v>
      </c>
      <c r="V91" s="6">
        <v>0.13900000000000001</v>
      </c>
      <c r="W91" s="6">
        <v>0.185</v>
      </c>
      <c r="X91" s="4">
        <v>0.34799999999999998</v>
      </c>
      <c r="Y91" s="3">
        <v>0.40300000000000002</v>
      </c>
      <c r="Z91" s="6">
        <v>0.16900000000000001</v>
      </c>
      <c r="AA91" s="6">
        <v>0.14199999999999999</v>
      </c>
      <c r="AB91" s="7">
        <v>490</v>
      </c>
      <c r="AC91" s="54" t="s">
        <v>6</v>
      </c>
      <c r="AD91" s="6">
        <v>0.14199999999999999</v>
      </c>
      <c r="AE91" s="5">
        <v>0.29599999999999999</v>
      </c>
      <c r="AF91" s="6">
        <v>0.14099999999999999</v>
      </c>
      <c r="AG91" s="5">
        <v>0.255</v>
      </c>
      <c r="AH91" s="5">
        <v>0.247</v>
      </c>
      <c r="AI91" s="6">
        <v>0.14099999999999999</v>
      </c>
      <c r="AJ91" s="6">
        <v>0.13700000000000001</v>
      </c>
      <c r="AK91" s="6">
        <v>0.19600000000000001</v>
      </c>
      <c r="AL91" s="5">
        <v>0.245</v>
      </c>
      <c r="AM91" s="5">
        <v>0.27700000000000002</v>
      </c>
      <c r="AN91" s="6">
        <v>0.122</v>
      </c>
      <c r="AO91" s="6">
        <v>0.16900000000000001</v>
      </c>
      <c r="AP91" s="7">
        <v>490</v>
      </c>
      <c r="AQ91" s="54" t="s">
        <v>6</v>
      </c>
      <c r="AR91" s="6">
        <v>0.10299999999999999</v>
      </c>
      <c r="AS91" s="3">
        <v>0.22900000000000001</v>
      </c>
      <c r="AT91" s="4">
        <v>0.2</v>
      </c>
      <c r="AU91" s="4">
        <v>0.2</v>
      </c>
      <c r="AV91" s="4">
        <v>0.19600000000000001</v>
      </c>
      <c r="AW91" s="20">
        <v>0.26500000000000001</v>
      </c>
      <c r="AX91" s="4">
        <v>0.22</v>
      </c>
      <c r="AY91" s="5">
        <v>0.16</v>
      </c>
      <c r="AZ91" s="3">
        <v>0.23400000000000001</v>
      </c>
      <c r="BA91" s="3">
        <v>0.247</v>
      </c>
      <c r="BB91" s="3">
        <v>0.222</v>
      </c>
      <c r="BC91" s="3">
        <v>0.245</v>
      </c>
      <c r="BD91" s="7">
        <v>490</v>
      </c>
    </row>
    <row r="92" spans="1:56">
      <c r="A92" s="55"/>
      <c r="B92" s="21">
        <v>0.13100000000000001</v>
      </c>
      <c r="C92" s="13">
        <v>0.25800000000000001</v>
      </c>
      <c r="D92" s="29">
        <v>0.186</v>
      </c>
      <c r="E92" s="28">
        <v>0.16200000000000001</v>
      </c>
      <c r="F92" s="14">
        <v>0.08</v>
      </c>
      <c r="G92" s="14">
        <v>0.1</v>
      </c>
      <c r="H92" s="14">
        <v>9.2999999999999999E-2</v>
      </c>
      <c r="I92" s="14">
        <v>0.10100000000000001</v>
      </c>
      <c r="J92" s="21">
        <v>0.11899999999999999</v>
      </c>
      <c r="K92" s="29">
        <v>0.186</v>
      </c>
      <c r="L92" s="14">
        <v>8.4000000000000005E-2</v>
      </c>
      <c r="M92" s="14">
        <v>9.2999999999999999E-2</v>
      </c>
      <c r="N92" s="7">
        <v>750</v>
      </c>
      <c r="O92" s="55"/>
      <c r="P92" s="14">
        <v>9.2999999999999999E-2</v>
      </c>
      <c r="Q92" s="21">
        <v>0.125</v>
      </c>
      <c r="R92" s="21">
        <v>0.10299999999999999</v>
      </c>
      <c r="S92" s="29">
        <v>0.193</v>
      </c>
      <c r="T92" s="14">
        <v>8.3000000000000004E-2</v>
      </c>
      <c r="U92" s="21">
        <v>9.9000000000000005E-2</v>
      </c>
      <c r="V92" s="14">
        <v>9.2999999999999999E-2</v>
      </c>
      <c r="W92" s="21">
        <v>0.114</v>
      </c>
      <c r="X92" s="29">
        <v>0.16800000000000001</v>
      </c>
      <c r="Y92" s="29">
        <v>0.17100000000000001</v>
      </c>
      <c r="Z92" s="14">
        <v>9.6000000000000002E-2</v>
      </c>
      <c r="AA92" s="14">
        <v>9.4E-2</v>
      </c>
      <c r="AB92" s="7">
        <v>750</v>
      </c>
      <c r="AC92" s="55"/>
      <c r="AD92" s="21">
        <v>9.8000000000000004E-2</v>
      </c>
      <c r="AE92" s="28">
        <v>0.155</v>
      </c>
      <c r="AF92" s="21">
        <v>0.10199999999999999</v>
      </c>
      <c r="AG92" s="29">
        <v>0.17399999999999999</v>
      </c>
      <c r="AH92" s="28">
        <v>0.13500000000000001</v>
      </c>
      <c r="AI92" s="14">
        <v>9.5000000000000001E-2</v>
      </c>
      <c r="AJ92" s="14">
        <v>9.2999999999999999E-2</v>
      </c>
      <c r="AK92" s="21">
        <v>0.11700000000000001</v>
      </c>
      <c r="AL92" s="28">
        <v>0.13400000000000001</v>
      </c>
      <c r="AM92" s="28">
        <v>0.14099999999999999</v>
      </c>
      <c r="AN92" s="14">
        <v>8.2000000000000003E-2</v>
      </c>
      <c r="AO92" s="21">
        <v>0.104</v>
      </c>
      <c r="AP92" s="7">
        <v>750</v>
      </c>
      <c r="AQ92" s="55"/>
      <c r="AR92" s="21">
        <v>0.09</v>
      </c>
      <c r="AS92" s="9">
        <v>0.24099999999999999</v>
      </c>
      <c r="AT92" s="18">
        <v>0.214</v>
      </c>
      <c r="AU92" s="18">
        <v>0.20699999999999999</v>
      </c>
      <c r="AV92" s="18">
        <v>0.20200000000000001</v>
      </c>
      <c r="AW92" s="8">
        <v>0.26400000000000001</v>
      </c>
      <c r="AX92" s="10">
        <v>0.221</v>
      </c>
      <c r="AY92" s="11">
        <v>0.16700000000000001</v>
      </c>
      <c r="AZ92" s="8">
        <v>0.249</v>
      </c>
      <c r="BA92" s="8">
        <v>0.254</v>
      </c>
      <c r="BB92" s="10">
        <v>0.23</v>
      </c>
      <c r="BC92" s="9">
        <v>0.24</v>
      </c>
      <c r="BD92" s="7">
        <v>750</v>
      </c>
    </row>
    <row r="93" spans="1:56">
      <c r="A93" s="54" t="s">
        <v>7</v>
      </c>
      <c r="B93" s="20">
        <v>0.60299999999999998</v>
      </c>
      <c r="C93" s="6">
        <v>0.115</v>
      </c>
      <c r="D93" s="6">
        <v>0.14699999999999999</v>
      </c>
      <c r="E93" s="5">
        <v>0.28399999999999997</v>
      </c>
      <c r="F93" s="6">
        <v>0.13900000000000001</v>
      </c>
      <c r="G93" s="6">
        <v>0.16700000000000001</v>
      </c>
      <c r="H93" s="6">
        <v>0.154</v>
      </c>
      <c r="I93" s="6">
        <v>0.155</v>
      </c>
      <c r="J93" s="23">
        <v>1.0820000000000001</v>
      </c>
      <c r="K93" s="6">
        <v>0.14399999999999999</v>
      </c>
      <c r="L93" s="6">
        <v>0.17499999999999999</v>
      </c>
      <c r="M93" s="6">
        <v>0.151</v>
      </c>
      <c r="N93" s="7">
        <v>490</v>
      </c>
      <c r="O93" s="54" t="s">
        <v>7</v>
      </c>
      <c r="P93" s="4">
        <v>0.36099999999999999</v>
      </c>
      <c r="Q93" s="6">
        <v>0.13</v>
      </c>
      <c r="R93" s="25">
        <v>1.415</v>
      </c>
      <c r="S93" s="6">
        <v>0.14099999999999999</v>
      </c>
      <c r="T93" s="6">
        <v>0.13700000000000001</v>
      </c>
      <c r="U93" s="6">
        <v>0.14399999999999999</v>
      </c>
      <c r="V93" s="5">
        <v>0.214</v>
      </c>
      <c r="W93" s="6">
        <v>0.15</v>
      </c>
      <c r="X93" s="30">
        <v>1.056</v>
      </c>
      <c r="Y93" s="5">
        <v>0.20399999999999999</v>
      </c>
      <c r="Z93" s="6">
        <v>0.183</v>
      </c>
      <c r="AA93" s="6">
        <v>0.151</v>
      </c>
      <c r="AB93" s="7">
        <v>490</v>
      </c>
      <c r="AC93" s="54" t="s">
        <v>7</v>
      </c>
      <c r="AD93" s="4">
        <v>0.35899999999999999</v>
      </c>
      <c r="AE93" s="6">
        <v>0.125</v>
      </c>
      <c r="AF93" s="25">
        <v>1.617</v>
      </c>
      <c r="AG93" s="5">
        <v>0.255</v>
      </c>
      <c r="AH93" s="6">
        <v>0.13500000000000001</v>
      </c>
      <c r="AI93" s="6">
        <v>0.14000000000000001</v>
      </c>
      <c r="AJ93" s="6">
        <v>0.14499999999999999</v>
      </c>
      <c r="AK93" s="5">
        <v>0.20799999999999999</v>
      </c>
      <c r="AL93" s="24">
        <v>1.105</v>
      </c>
      <c r="AM93" s="6">
        <v>0.19600000000000001</v>
      </c>
      <c r="AN93" s="6">
        <v>0.16800000000000001</v>
      </c>
      <c r="AO93" s="6">
        <v>0.14799999999999999</v>
      </c>
      <c r="AP93" s="7">
        <v>490</v>
      </c>
      <c r="AQ93" s="54" t="s">
        <v>7</v>
      </c>
      <c r="AR93" s="3">
        <v>0.25700000000000001</v>
      </c>
      <c r="AS93" s="20">
        <v>0.26700000000000002</v>
      </c>
      <c r="AT93" s="20">
        <v>0.26700000000000002</v>
      </c>
      <c r="AU93" s="4">
        <v>0.218</v>
      </c>
      <c r="AV93" s="3">
        <v>0.26100000000000001</v>
      </c>
      <c r="AW93" s="20">
        <v>0.28499999999999998</v>
      </c>
      <c r="AX93" s="5">
        <v>0.16700000000000001</v>
      </c>
      <c r="AY93" s="20">
        <v>0.27600000000000002</v>
      </c>
      <c r="AZ93" s="25">
        <v>0.65700000000000003</v>
      </c>
      <c r="BA93" s="3">
        <v>0.22600000000000001</v>
      </c>
      <c r="BB93" s="22">
        <v>0.33700000000000002</v>
      </c>
      <c r="BC93" s="20">
        <v>0.27900000000000003</v>
      </c>
      <c r="BD93" s="7">
        <v>490</v>
      </c>
    </row>
    <row r="94" spans="1:56">
      <c r="A94" s="55"/>
      <c r="B94" s="17">
        <v>0.29199999999999998</v>
      </c>
      <c r="C94" s="14">
        <v>7.8E-2</v>
      </c>
      <c r="D94" s="14">
        <v>0.10100000000000001</v>
      </c>
      <c r="E94" s="21">
        <v>0.13500000000000001</v>
      </c>
      <c r="F94" s="14">
        <v>9.6000000000000002E-2</v>
      </c>
      <c r="G94" s="14">
        <v>0.10199999999999999</v>
      </c>
      <c r="H94" s="14">
        <v>0.10299999999999999</v>
      </c>
      <c r="I94" s="14">
        <v>0.106</v>
      </c>
      <c r="J94" s="18">
        <v>0.39100000000000001</v>
      </c>
      <c r="K94" s="14">
        <v>9.9000000000000005E-2</v>
      </c>
      <c r="L94" s="14">
        <v>9.2999999999999999E-2</v>
      </c>
      <c r="M94" s="14">
        <v>0.10199999999999999</v>
      </c>
      <c r="N94" s="7">
        <v>750</v>
      </c>
      <c r="O94" s="55"/>
      <c r="P94" s="17">
        <v>0.23400000000000001</v>
      </c>
      <c r="Q94" s="14">
        <v>8.7999999999999995E-2</v>
      </c>
      <c r="R94" s="8">
        <v>0.45100000000000001</v>
      </c>
      <c r="S94" s="14">
        <v>9.7000000000000003E-2</v>
      </c>
      <c r="T94" s="14">
        <v>9.5000000000000001E-2</v>
      </c>
      <c r="U94" s="14">
        <v>9.7000000000000003E-2</v>
      </c>
      <c r="V94" s="21">
        <v>0.11700000000000001</v>
      </c>
      <c r="W94" s="21">
        <v>0.10199999999999999</v>
      </c>
      <c r="X94" s="10">
        <v>0.35799999999999998</v>
      </c>
      <c r="Y94" s="21">
        <v>0.12</v>
      </c>
      <c r="Z94" s="21">
        <v>0.10199999999999999</v>
      </c>
      <c r="AA94" s="21">
        <v>0.10299999999999999</v>
      </c>
      <c r="AB94" s="7">
        <v>750</v>
      </c>
      <c r="AC94" s="55"/>
      <c r="AD94" s="13">
        <v>0.224</v>
      </c>
      <c r="AE94" s="14">
        <v>8.4000000000000005E-2</v>
      </c>
      <c r="AF94" s="26">
        <v>0.55700000000000005</v>
      </c>
      <c r="AG94" s="28">
        <v>0.13500000000000001</v>
      </c>
      <c r="AH94" s="14">
        <v>9.2999999999999999E-2</v>
      </c>
      <c r="AI94" s="14">
        <v>9.4E-2</v>
      </c>
      <c r="AJ94" s="14">
        <v>9.5000000000000001E-2</v>
      </c>
      <c r="AK94" s="21">
        <v>0.12</v>
      </c>
      <c r="AL94" s="10">
        <v>0.39700000000000002</v>
      </c>
      <c r="AM94" s="21">
        <v>0.126</v>
      </c>
      <c r="AN94" s="14">
        <v>9.1999999999999998E-2</v>
      </c>
      <c r="AO94" s="21">
        <v>0.10299999999999999</v>
      </c>
      <c r="AP94" s="7">
        <v>750</v>
      </c>
      <c r="AQ94" s="55"/>
      <c r="AR94" s="8">
        <v>0.252</v>
      </c>
      <c r="AS94" s="8">
        <v>0.26500000000000001</v>
      </c>
      <c r="AT94" s="19">
        <v>0.27800000000000002</v>
      </c>
      <c r="AU94" s="10">
        <v>0.219</v>
      </c>
      <c r="AV94" s="8">
        <v>0.26</v>
      </c>
      <c r="AW94" s="26">
        <v>0.28399999999999997</v>
      </c>
      <c r="AX94" s="17">
        <v>0.16</v>
      </c>
      <c r="AY94" s="19">
        <v>0.27600000000000002</v>
      </c>
      <c r="AZ94" s="8">
        <v>0.25700000000000001</v>
      </c>
      <c r="BA94" s="10">
        <v>0.222</v>
      </c>
      <c r="BB94" s="26">
        <v>0.29899999999999999</v>
      </c>
      <c r="BC94" s="19">
        <v>0.27</v>
      </c>
      <c r="BD94" s="7">
        <v>750</v>
      </c>
    </row>
  </sheetData>
  <mergeCells count="120">
    <mergeCell ref="AC55:AC56"/>
    <mergeCell ref="AQ91:AQ92"/>
    <mergeCell ref="AQ93:AQ94"/>
    <mergeCell ref="AQ79:AQ80"/>
    <mergeCell ref="AQ81:AQ82"/>
    <mergeCell ref="AQ83:AQ84"/>
    <mergeCell ref="AQ85:AQ86"/>
    <mergeCell ref="AQ87:AQ88"/>
    <mergeCell ref="AQ89:AQ90"/>
    <mergeCell ref="AC68:AC69"/>
    <mergeCell ref="AC70:AC71"/>
    <mergeCell ref="AC72:AC73"/>
    <mergeCell ref="AC74:AC75"/>
    <mergeCell ref="AC93:AC94"/>
    <mergeCell ref="A55:A56"/>
    <mergeCell ref="O41:O42"/>
    <mergeCell ref="O43:O44"/>
    <mergeCell ref="O45:O46"/>
    <mergeCell ref="O47:O48"/>
    <mergeCell ref="O49:O50"/>
    <mergeCell ref="O51:O52"/>
    <mergeCell ref="A47:A48"/>
    <mergeCell ref="O53:O54"/>
    <mergeCell ref="O55:O56"/>
    <mergeCell ref="A45:A46"/>
    <mergeCell ref="AC45:AC46"/>
    <mergeCell ref="A34:A35"/>
    <mergeCell ref="A36:A37"/>
    <mergeCell ref="A49:A50"/>
    <mergeCell ref="A51:A52"/>
    <mergeCell ref="A53:A54"/>
    <mergeCell ref="AC47:AC48"/>
    <mergeCell ref="AC49:AC50"/>
    <mergeCell ref="AC51:AC52"/>
    <mergeCell ref="AC53:AC54"/>
    <mergeCell ref="AC22:AC23"/>
    <mergeCell ref="AC24:AC25"/>
    <mergeCell ref="AC26:AC27"/>
    <mergeCell ref="AC28:AC29"/>
    <mergeCell ref="AC30:AC31"/>
    <mergeCell ref="AC34:AC35"/>
    <mergeCell ref="AC36:AC37"/>
    <mergeCell ref="A41:A42"/>
    <mergeCell ref="A43:A44"/>
    <mergeCell ref="A22:A23"/>
    <mergeCell ref="A24:A25"/>
    <mergeCell ref="A26:A27"/>
    <mergeCell ref="A28:A29"/>
    <mergeCell ref="A30:A31"/>
    <mergeCell ref="O22:O23"/>
    <mergeCell ref="O24:O25"/>
    <mergeCell ref="O26:O27"/>
    <mergeCell ref="O28:O29"/>
    <mergeCell ref="O30:O31"/>
    <mergeCell ref="AC41:AC42"/>
    <mergeCell ref="AC43:AC44"/>
    <mergeCell ref="A3:A4"/>
    <mergeCell ref="A5:A6"/>
    <mergeCell ref="A7:A8"/>
    <mergeCell ref="A9:A10"/>
    <mergeCell ref="A11:A12"/>
    <mergeCell ref="AQ3:AQ4"/>
    <mergeCell ref="AQ5:AQ6"/>
    <mergeCell ref="AQ7:AQ8"/>
    <mergeCell ref="AQ9:AQ10"/>
    <mergeCell ref="AQ11:AQ12"/>
    <mergeCell ref="O60:O61"/>
    <mergeCell ref="O62:O63"/>
    <mergeCell ref="O64:O65"/>
    <mergeCell ref="O66:O67"/>
    <mergeCell ref="O68:O69"/>
    <mergeCell ref="AQ13:AQ14"/>
    <mergeCell ref="A60:A61"/>
    <mergeCell ref="A62:A63"/>
    <mergeCell ref="A64:A65"/>
    <mergeCell ref="A66:A67"/>
    <mergeCell ref="AC60:AC61"/>
    <mergeCell ref="AC62:AC63"/>
    <mergeCell ref="AC64:AC65"/>
    <mergeCell ref="AC66:AC67"/>
    <mergeCell ref="A32:A33"/>
    <mergeCell ref="AQ15:AQ16"/>
    <mergeCell ref="AQ17:AQ18"/>
    <mergeCell ref="A13:A14"/>
    <mergeCell ref="A15:A16"/>
    <mergeCell ref="A17:A18"/>
    <mergeCell ref="AC32:AC33"/>
    <mergeCell ref="O32:O33"/>
    <mergeCell ref="O34:O35"/>
    <mergeCell ref="O36:O37"/>
    <mergeCell ref="A68:A69"/>
    <mergeCell ref="A70:A71"/>
    <mergeCell ref="A72:A73"/>
    <mergeCell ref="A74:A75"/>
    <mergeCell ref="O70:O71"/>
    <mergeCell ref="O72:O73"/>
    <mergeCell ref="O74:O75"/>
    <mergeCell ref="AC89:AC90"/>
    <mergeCell ref="AC91:AC92"/>
    <mergeCell ref="AC79:AC80"/>
    <mergeCell ref="AC81:AC82"/>
    <mergeCell ref="AC83:AC84"/>
    <mergeCell ref="AC85:AC86"/>
    <mergeCell ref="AC87:AC88"/>
    <mergeCell ref="A89:A90"/>
    <mergeCell ref="A91:A92"/>
    <mergeCell ref="A93:A94"/>
    <mergeCell ref="O79:O80"/>
    <mergeCell ref="O81:O82"/>
    <mergeCell ref="O83:O84"/>
    <mergeCell ref="O85:O86"/>
    <mergeCell ref="O87:O88"/>
    <mergeCell ref="O89:O90"/>
    <mergeCell ref="O91:O92"/>
    <mergeCell ref="O93:O94"/>
    <mergeCell ref="A79:A80"/>
    <mergeCell ref="A81:A82"/>
    <mergeCell ref="A83:A84"/>
    <mergeCell ref="A85:A86"/>
    <mergeCell ref="A87:A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2"/>
  <sheetViews>
    <sheetView topLeftCell="A36" workbookViewId="0">
      <selection activeCell="Z74" sqref="Z74"/>
    </sheetView>
  </sheetViews>
  <sheetFormatPr baseColWidth="10" defaultColWidth="9.140625" defaultRowHeight="15"/>
  <sheetData>
    <row r="1" spans="1:41">
      <c r="B1" t="s">
        <v>20</v>
      </c>
      <c r="O1" t="s">
        <v>14</v>
      </c>
      <c r="AB1" t="s">
        <v>16</v>
      </c>
    </row>
    <row r="2" spans="1:41">
      <c r="A2" s="36"/>
      <c r="B2" s="36" t="s">
        <v>9</v>
      </c>
      <c r="C2" s="36" t="s">
        <v>19</v>
      </c>
      <c r="D2" s="36" t="s">
        <v>11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 t="s">
        <v>9</v>
      </c>
      <c r="P2" s="36" t="s">
        <v>19</v>
      </c>
      <c r="Q2" s="36" t="s">
        <v>11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 t="s">
        <v>9</v>
      </c>
      <c r="AC2" s="36" t="s">
        <v>19</v>
      </c>
      <c r="AD2" s="36" t="s">
        <v>11</v>
      </c>
      <c r="AE2" s="36"/>
      <c r="AF2" s="36"/>
      <c r="AG2" s="36"/>
      <c r="AH2" s="36"/>
      <c r="AI2" s="36"/>
      <c r="AJ2" s="36"/>
      <c r="AK2" s="36"/>
      <c r="AL2" s="36"/>
      <c r="AM2" s="36"/>
    </row>
    <row r="3" spans="1:41">
      <c r="B3">
        <f>Rohdaten!B22-Rohdaten!B3</f>
        <v>4.6000000000000013E-2</v>
      </c>
      <c r="C3">
        <f>Rohdaten!C22-Rohdaten!C3</f>
        <v>4.3999999999999997E-2</v>
      </c>
      <c r="D3">
        <f>Rohdaten!D22-Rohdaten!D3</f>
        <v>6.6000000000000003E-2</v>
      </c>
      <c r="E3">
        <f>Rohdaten!E22-Rohdaten!E3</f>
        <v>4.8999999999999988E-2</v>
      </c>
      <c r="F3">
        <f>Rohdaten!F22-Rohdaten!F3</f>
        <v>3.9999999999999994E-2</v>
      </c>
      <c r="G3">
        <f>Rohdaten!G22-Rohdaten!G3</f>
        <v>7.8999999999999987E-2</v>
      </c>
      <c r="H3">
        <f>Rohdaten!H22-Rohdaten!H3</f>
        <v>-3.0000000000000027E-3</v>
      </c>
      <c r="I3">
        <f>Rohdaten!I22-Rohdaten!I3</f>
        <v>3.7000000000000005E-2</v>
      </c>
      <c r="J3">
        <f>Rohdaten!J22-Rohdaten!J3</f>
        <v>5.1999999999999991E-2</v>
      </c>
      <c r="K3">
        <f>Rohdaten!K22-Rohdaten!K3</f>
        <v>0.38100000000000001</v>
      </c>
      <c r="L3">
        <f>Rohdaten!L22-Rohdaten!L3</f>
        <v>4.8000000000000015E-2</v>
      </c>
      <c r="M3">
        <f>Rohdaten!M22-Rohdaten!M3</f>
        <v>0.155</v>
      </c>
      <c r="O3">
        <f>Rohdaten!P22-Rohdaten!B3</f>
        <v>4.4000000000000011E-2</v>
      </c>
      <c r="P3">
        <f>Rohdaten!Q22-Rohdaten!C3</f>
        <v>3.9999999999999994E-2</v>
      </c>
      <c r="Q3">
        <f>Rohdaten!R22-Rohdaten!D3</f>
        <v>4.200000000000001E-2</v>
      </c>
      <c r="R3">
        <f>Rohdaten!S22-Rohdaten!E3</f>
        <v>5.099999999999999E-2</v>
      </c>
      <c r="S3">
        <f>Rohdaten!T22-Rohdaten!F3</f>
        <v>4.8000000000000001E-2</v>
      </c>
      <c r="T3">
        <f>Rohdaten!U22-Rohdaten!G3</f>
        <v>7.7999999999999986E-2</v>
      </c>
      <c r="U3">
        <f>Rohdaten!V22-Rohdaten!H3</f>
        <v>2.7999999999999997E-2</v>
      </c>
      <c r="V3">
        <f>Rohdaten!W22-Rohdaten!I3</f>
        <v>4.200000000000001E-2</v>
      </c>
      <c r="W3">
        <f>Rohdaten!X22-Rohdaten!J3</f>
        <v>5.8999999999999997E-2</v>
      </c>
      <c r="X3">
        <f>Rohdaten!Y22-Rohdaten!K3</f>
        <v>0.33800000000000002</v>
      </c>
      <c r="Y3">
        <f>Rohdaten!Z22-Rohdaten!L3</f>
        <v>5.099999999999999E-2</v>
      </c>
      <c r="Z3">
        <f>Rohdaten!AA22-Rohdaten!M3</f>
        <v>0.13799999999999998</v>
      </c>
      <c r="AB3">
        <f>Rohdaten!AD22-Rohdaten!B3</f>
        <v>4.4000000000000011E-2</v>
      </c>
      <c r="AC3">
        <f>Rohdaten!AE22-Rohdaten!C3</f>
        <v>5.5000000000000007E-2</v>
      </c>
      <c r="AD3">
        <f>Rohdaten!AF22-Rohdaten!D3</f>
        <v>4.200000000000001E-2</v>
      </c>
      <c r="AE3">
        <f>Rohdaten!AG22-Rohdaten!E3</f>
        <v>4.8999999999999988E-2</v>
      </c>
      <c r="AF3">
        <f>Rohdaten!AH22-Rohdaten!F3</f>
        <v>5.1000000000000004E-2</v>
      </c>
      <c r="AG3">
        <f>Rohdaten!AI22-Rohdaten!G3</f>
        <v>8.3999999999999991E-2</v>
      </c>
      <c r="AH3">
        <f>Rohdaten!AJ22-Rohdaten!H3</f>
        <v>1.9000000000000017E-2</v>
      </c>
      <c r="AI3">
        <f>Rohdaten!AK22-Rohdaten!I3</f>
        <v>3.3000000000000002E-2</v>
      </c>
      <c r="AJ3">
        <f>Rohdaten!AL22-Rohdaten!J3</f>
        <v>5.8999999999999997E-2</v>
      </c>
      <c r="AK3">
        <f>Rohdaten!AM22-Rohdaten!K3</f>
        <v>0.30499999999999999</v>
      </c>
      <c r="AL3">
        <f>Rohdaten!AN22-Rohdaten!L3</f>
        <v>5.2999999999999992E-2</v>
      </c>
      <c r="AM3">
        <f>Rohdaten!AO22-Rohdaten!M3</f>
        <v>0.14599999999999999</v>
      </c>
      <c r="AO3">
        <f>(AB3+O3+B3)/3</f>
        <v>4.4666666666666681E-2</v>
      </c>
    </row>
    <row r="4" spans="1:41">
      <c r="B4">
        <f>Rohdaten!B23-Rohdaten!B4</f>
        <v>2.8999999999999998E-2</v>
      </c>
      <c r="C4">
        <f>Rohdaten!C23-Rohdaten!C4</f>
        <v>2.5000000000000008E-2</v>
      </c>
      <c r="D4">
        <f>Rohdaten!D23-Rohdaten!D4</f>
        <v>4.300000000000001E-2</v>
      </c>
      <c r="E4">
        <f>Rohdaten!E23-Rohdaten!E4</f>
        <v>3.1E-2</v>
      </c>
      <c r="F4">
        <f>Rohdaten!F23-Rohdaten!F4</f>
        <v>2.9000000000000012E-2</v>
      </c>
      <c r="G4">
        <f>Rohdaten!G23-Rohdaten!G4</f>
        <v>4.9999999999999989E-2</v>
      </c>
      <c r="H4">
        <f>Rohdaten!H23-Rohdaten!H4</f>
        <v>-1.7000000000000001E-2</v>
      </c>
      <c r="I4">
        <f>Rohdaten!I23-Rohdaten!I4</f>
        <v>1.7000000000000001E-2</v>
      </c>
      <c r="J4">
        <f>Rohdaten!J23-Rohdaten!J4</f>
        <v>3.4000000000000002E-2</v>
      </c>
      <c r="K4">
        <f>Rohdaten!K23-Rohdaten!K4</f>
        <v>0.21299999999999999</v>
      </c>
      <c r="L4">
        <f>Rohdaten!L23-Rohdaten!L4</f>
        <v>0.03</v>
      </c>
      <c r="M4">
        <f>Rohdaten!M23-Rohdaten!M4</f>
        <v>8.7999999999999995E-2</v>
      </c>
      <c r="O4">
        <f>Rohdaten!P23-Rohdaten!B4</f>
        <v>2.6999999999999996E-2</v>
      </c>
      <c r="P4">
        <f>Rohdaten!Q23-Rohdaten!C4</f>
        <v>2.3000000000000007E-2</v>
      </c>
      <c r="Q4">
        <f>Rohdaten!R23-Rohdaten!D4</f>
        <v>2.7999999999999997E-2</v>
      </c>
      <c r="R4">
        <f>Rohdaten!S23-Rohdaten!E4</f>
        <v>3.3000000000000002E-2</v>
      </c>
      <c r="S4">
        <f>Rohdaten!T23-Rohdaten!F4</f>
        <v>3.5000000000000003E-2</v>
      </c>
      <c r="T4">
        <f>Rohdaten!U23-Rohdaten!G4</f>
        <v>4.9999999999999989E-2</v>
      </c>
      <c r="U4">
        <f>Rohdaten!V23-Rohdaten!H4</f>
        <v>5.9999999999999915E-3</v>
      </c>
      <c r="V4">
        <f>Rohdaten!W23-Rohdaten!I4</f>
        <v>2.2000000000000006E-2</v>
      </c>
      <c r="W4">
        <f>Rohdaten!X23-Rohdaten!J4</f>
        <v>3.9000000000000007E-2</v>
      </c>
      <c r="X4">
        <f>Rohdaten!Y23-Rohdaten!K4</f>
        <v>0.18700000000000003</v>
      </c>
      <c r="Y4">
        <f>Rohdaten!Z23-Rohdaten!L4</f>
        <v>3.2000000000000001E-2</v>
      </c>
      <c r="Z4">
        <f>Rohdaten!AA23-Rohdaten!M4</f>
        <v>7.9999999999999988E-2</v>
      </c>
      <c r="AB4">
        <f>Rohdaten!AD23-Rohdaten!B4</f>
        <v>2.5999999999999995E-2</v>
      </c>
      <c r="AC4">
        <f>Rohdaten!AE23-Rohdaten!C4</f>
        <v>3.1E-2</v>
      </c>
      <c r="AD4">
        <f>Rohdaten!AF23-Rohdaten!D4</f>
        <v>2.8999999999999998E-2</v>
      </c>
      <c r="AE4">
        <f>Rohdaten!AG23-Rohdaten!E4</f>
        <v>3.2000000000000001E-2</v>
      </c>
      <c r="AF4">
        <f>Rohdaten!AH23-Rohdaten!F4</f>
        <v>3.5000000000000003E-2</v>
      </c>
      <c r="AG4">
        <f>Rohdaten!AI23-Rohdaten!G4</f>
        <v>5.3999999999999992E-2</v>
      </c>
      <c r="AH4">
        <f>Rohdaten!AJ23-Rohdaten!H4</f>
        <v>-2.0000000000000018E-3</v>
      </c>
      <c r="AI4">
        <f>Rohdaten!AK23-Rohdaten!I4</f>
        <v>1.8000000000000002E-2</v>
      </c>
      <c r="AJ4">
        <f>Rohdaten!AL23-Rohdaten!J4</f>
        <v>3.9000000000000007E-2</v>
      </c>
      <c r="AK4">
        <f>Rohdaten!AM23-Rohdaten!K4</f>
        <v>0.16400000000000001</v>
      </c>
      <c r="AL4">
        <f>Rohdaten!AN23-Rohdaten!L4</f>
        <v>3.4000000000000002E-2</v>
      </c>
      <c r="AM4">
        <f>Rohdaten!AO23-Rohdaten!M4</f>
        <v>8.0999999999999989E-2</v>
      </c>
      <c r="AO4">
        <f>_xlfn.STDEV.P(AB3+O3+B3)</f>
        <v>0</v>
      </c>
    </row>
    <row r="5" spans="1:41">
      <c r="B5">
        <f>Rohdaten!B24-Rohdaten!B5</f>
        <v>4.6000000000000013E-2</v>
      </c>
      <c r="C5">
        <f>Rohdaten!C24-Rohdaten!C5</f>
        <v>3.2999999999999988E-2</v>
      </c>
      <c r="D5">
        <f>Rohdaten!D24-Rohdaten!D5</f>
        <v>6.5000000000000002E-2</v>
      </c>
      <c r="E5">
        <f>Rohdaten!E24-Rohdaten!E5</f>
        <v>0.15500000000000003</v>
      </c>
      <c r="F5">
        <f>Rohdaten!F24-Rohdaten!F5</f>
        <v>0.2</v>
      </c>
      <c r="G5">
        <f>Rohdaten!G24-Rohdaten!G5</f>
        <v>0.25</v>
      </c>
      <c r="H5">
        <f>Rohdaten!H24-Rohdaten!H5</f>
        <v>0.248</v>
      </c>
      <c r="I5">
        <f>Rohdaten!I24-Rohdaten!I5</f>
        <v>5.3999999999999992E-2</v>
      </c>
      <c r="J5">
        <f>Rohdaten!J24-Rohdaten!J5</f>
        <v>0.13599999999999998</v>
      </c>
      <c r="K5">
        <f>Rohdaten!K24-Rohdaten!K5</f>
        <v>0.32400000000000001</v>
      </c>
      <c r="L5">
        <f>Rohdaten!L24-Rohdaten!L5</f>
        <v>8.3000000000000018E-2</v>
      </c>
      <c r="M5">
        <f>Rohdaten!M24-Rohdaten!M5</f>
        <v>2.2999999999999993E-2</v>
      </c>
      <c r="O5">
        <f>Rohdaten!P24-Rohdaten!B5</f>
        <v>4.5000000000000012E-2</v>
      </c>
      <c r="P5">
        <f>Rohdaten!Q24-Rohdaten!C5</f>
        <v>2.5000000000000008E-2</v>
      </c>
      <c r="Q5">
        <f>Rohdaten!R24-Rohdaten!D5</f>
        <v>7.0000000000000007E-2</v>
      </c>
      <c r="R5">
        <f>Rohdaten!S24-Rohdaten!E5</f>
        <v>0.14700000000000002</v>
      </c>
      <c r="S5">
        <f>Rohdaten!T24-Rohdaten!F5</f>
        <v>0.21599999999999997</v>
      </c>
      <c r="T5">
        <f>Rohdaten!U24-Rohdaten!G5</f>
        <v>0.188</v>
      </c>
      <c r="U5">
        <f>Rohdaten!V24-Rohdaten!H5</f>
        <v>0.20700000000000002</v>
      </c>
      <c r="V5">
        <f>Rohdaten!W24-Rohdaten!I5</f>
        <v>5.8999999999999997E-2</v>
      </c>
      <c r="W5">
        <f>Rohdaten!X24-Rohdaten!J5</f>
        <v>0.16300000000000001</v>
      </c>
      <c r="X5">
        <f>Rohdaten!Y24-Rohdaten!K5</f>
        <v>0.20900000000000002</v>
      </c>
      <c r="Y5">
        <f>Rohdaten!Z24-Rohdaten!L5</f>
        <v>0.09</v>
      </c>
      <c r="Z5">
        <f>Rohdaten!AA24-Rohdaten!M5</f>
        <v>2.4999999999999994E-2</v>
      </c>
      <c r="AB5">
        <f>Rohdaten!AD24-Rohdaten!B5</f>
        <v>4.8000000000000015E-2</v>
      </c>
      <c r="AC5">
        <f>Rohdaten!AE24-Rohdaten!C5</f>
        <v>3.2999999999999988E-2</v>
      </c>
      <c r="AD5">
        <f>Rohdaten!AF24-Rohdaten!D5</f>
        <v>5.8999999999999997E-2</v>
      </c>
      <c r="AE5">
        <f>Rohdaten!AG24-Rohdaten!E5</f>
        <v>0.15400000000000003</v>
      </c>
      <c r="AF5">
        <f>Rohdaten!AH24-Rohdaten!F5</f>
        <v>0.14300000000000002</v>
      </c>
      <c r="AG5">
        <f>Rohdaten!AI24-Rohdaten!G5</f>
        <v>0.21100000000000002</v>
      </c>
      <c r="AH5">
        <f>Rohdaten!AJ24-Rohdaten!H5</f>
        <v>0.245</v>
      </c>
      <c r="AI5">
        <f>Rohdaten!AK24-Rohdaten!I5</f>
        <v>5.099999999999999E-2</v>
      </c>
      <c r="AJ5">
        <f>Rohdaten!AL24-Rohdaten!J5</f>
        <v>9.9000000000000005E-2</v>
      </c>
      <c r="AK5">
        <f>Rohdaten!AM24-Rohdaten!K5</f>
        <v>0.25600000000000001</v>
      </c>
      <c r="AL5">
        <f>Rohdaten!AN24-Rohdaten!L5</f>
        <v>7.2000000000000008E-2</v>
      </c>
      <c r="AM5">
        <f>Rohdaten!AO24-Rohdaten!M5</f>
        <v>2.5999999999999995E-2</v>
      </c>
    </row>
    <row r="6" spans="1:41">
      <c r="B6">
        <f>Rohdaten!B25-Rohdaten!B6</f>
        <v>2.8999999999999998E-2</v>
      </c>
      <c r="C6">
        <f>Rohdaten!C25-Rohdaten!C6</f>
        <v>1.9000000000000003E-2</v>
      </c>
      <c r="D6">
        <f>Rohdaten!D25-Rohdaten!D6</f>
        <v>2.8999999999999998E-2</v>
      </c>
      <c r="E6">
        <f>Rohdaten!E25-Rohdaten!E6</f>
        <v>0.10200000000000001</v>
      </c>
      <c r="F6">
        <f>Rohdaten!F25-Rohdaten!F6</f>
        <v>4.200000000000001E-2</v>
      </c>
      <c r="G6">
        <f>Rohdaten!G25-Rohdaten!G6</f>
        <v>0.129</v>
      </c>
      <c r="H6">
        <f>Rohdaten!H25-Rohdaten!H6</f>
        <v>0.16400000000000001</v>
      </c>
      <c r="I6">
        <f>Rohdaten!I25-Rohdaten!I6</f>
        <v>3.3000000000000002E-2</v>
      </c>
      <c r="J6">
        <f>Rohdaten!J25-Rohdaten!J6</f>
        <v>1.7000000000000001E-2</v>
      </c>
      <c r="K6">
        <f>Rohdaten!K25-Rohdaten!K6</f>
        <v>0.19999999999999998</v>
      </c>
      <c r="L6">
        <f>Rohdaten!L25-Rohdaten!L6</f>
        <v>5.0000000000000017E-2</v>
      </c>
      <c r="M6">
        <f>Rohdaten!M25-Rohdaten!M6</f>
        <v>8.0000000000000071E-3</v>
      </c>
      <c r="O6">
        <f>Rohdaten!P25-Rohdaten!B6</f>
        <v>2.7999999999999997E-2</v>
      </c>
      <c r="P6">
        <f>Rohdaten!Q25-Rohdaten!C6</f>
        <v>1.3000000000000012E-2</v>
      </c>
      <c r="Q6">
        <f>Rohdaten!R25-Rohdaten!D6</f>
        <v>3.3000000000000002E-2</v>
      </c>
      <c r="R6">
        <f>Rohdaten!S25-Rohdaten!E6</f>
        <v>0.1</v>
      </c>
      <c r="S6">
        <f>Rohdaten!T25-Rohdaten!F6</f>
        <v>4.4000000000000011E-2</v>
      </c>
      <c r="T6">
        <f>Rohdaten!U25-Rohdaten!G6</f>
        <v>9.6000000000000002E-2</v>
      </c>
      <c r="U6">
        <f>Rohdaten!V25-Rohdaten!H6</f>
        <v>0.14000000000000001</v>
      </c>
      <c r="V6">
        <f>Rohdaten!W25-Rohdaten!I6</f>
        <v>3.8000000000000006E-2</v>
      </c>
      <c r="W6">
        <f>Rohdaten!X25-Rohdaten!J6</f>
        <v>3.3000000000000002E-2</v>
      </c>
      <c r="X6">
        <f>Rohdaten!Y25-Rohdaten!K6</f>
        <v>0.123</v>
      </c>
      <c r="Y6">
        <f>Rohdaten!Z25-Rohdaten!L6</f>
        <v>5.4999999999999993E-2</v>
      </c>
      <c r="Z6">
        <f>Rohdaten!AA25-Rohdaten!M6</f>
        <v>9.000000000000008E-3</v>
      </c>
      <c r="AB6">
        <f>Rohdaten!AD25-Rohdaten!B6</f>
        <v>0.03</v>
      </c>
      <c r="AC6">
        <f>Rohdaten!AE25-Rohdaten!C6</f>
        <v>1.8000000000000002E-2</v>
      </c>
      <c r="AD6">
        <f>Rohdaten!AF25-Rohdaten!D6</f>
        <v>3.2000000000000001E-2</v>
      </c>
      <c r="AE6">
        <f>Rohdaten!AG25-Rohdaten!E6</f>
        <v>0.10400000000000001</v>
      </c>
      <c r="AF6">
        <f>Rohdaten!AH25-Rohdaten!F6</f>
        <v>4.4000000000000011E-2</v>
      </c>
      <c r="AG6">
        <f>Rohdaten!AI25-Rohdaten!G6</f>
        <v>0.11099999999999999</v>
      </c>
      <c r="AH6">
        <f>Rohdaten!AJ25-Rohdaten!H6</f>
        <v>0.16500000000000001</v>
      </c>
      <c r="AI6">
        <f>Rohdaten!AK25-Rohdaten!I6</f>
        <v>3.2000000000000001E-2</v>
      </c>
      <c r="AJ6">
        <f>Rohdaten!AL25-Rohdaten!J6</f>
        <v>1.0999999999999996E-2</v>
      </c>
      <c r="AK6">
        <f>Rohdaten!AM25-Rohdaten!K6</f>
        <v>0.152</v>
      </c>
      <c r="AL6">
        <f>Rohdaten!AN25-Rohdaten!L6</f>
        <v>4.7000000000000014E-2</v>
      </c>
      <c r="AM6">
        <f>Rohdaten!AO25-Rohdaten!M6</f>
        <v>1.100000000000001E-2</v>
      </c>
    </row>
    <row r="7" spans="1:41">
      <c r="B7">
        <f>Rohdaten!B26-Rohdaten!B7</f>
        <v>5.6000000000000008E-2</v>
      </c>
      <c r="C7">
        <f>Rohdaten!C26-Rohdaten!C7</f>
        <v>3.6999999999999991E-2</v>
      </c>
      <c r="D7">
        <f>Rohdaten!D26-Rohdaten!D7</f>
        <v>5.1000000000000004E-2</v>
      </c>
      <c r="E7">
        <f>Rohdaten!E26-Rohdaten!E7</f>
        <v>0.24299999999999999</v>
      </c>
      <c r="F7">
        <f>Rohdaten!F26-Rohdaten!F7</f>
        <v>8.6000000000000007E-2</v>
      </c>
      <c r="G7">
        <f>Rohdaten!G26-Rohdaten!G7</f>
        <v>5.6999999999999995E-2</v>
      </c>
      <c r="H7">
        <f>Rohdaten!H26-Rohdaten!H7</f>
        <v>5.5999999999999994E-2</v>
      </c>
      <c r="I7">
        <f>Rohdaten!I26-Rohdaten!I7</f>
        <v>4.8000000000000015E-2</v>
      </c>
      <c r="J7">
        <f>Rohdaten!J26-Rohdaten!J7</f>
        <v>5.3999999999999992E-2</v>
      </c>
      <c r="K7">
        <f>Rohdaten!K26-Rohdaten!K7</f>
        <v>4.7E-2</v>
      </c>
      <c r="L7">
        <f>Rohdaten!L26-Rohdaten!L7</f>
        <v>5.3000000000000005E-2</v>
      </c>
      <c r="M7">
        <f>Rohdaten!M26-Rohdaten!M7</f>
        <v>0.55399999999999994</v>
      </c>
      <c r="O7">
        <f>Rohdaten!P26-Rohdaten!B7</f>
        <v>5.5000000000000007E-2</v>
      </c>
      <c r="P7">
        <f>Rohdaten!Q26-Rohdaten!C7</f>
        <v>4.1999999999999996E-2</v>
      </c>
      <c r="Q7">
        <f>Rohdaten!R26-Rohdaten!D7</f>
        <v>5.4000000000000006E-2</v>
      </c>
      <c r="R7">
        <f>Rohdaten!S26-Rohdaten!E7</f>
        <v>0.23799999999999999</v>
      </c>
      <c r="S7">
        <f>Rohdaten!T26-Rohdaten!F7</f>
        <v>9.8999999999999991E-2</v>
      </c>
      <c r="T7">
        <f>Rohdaten!U26-Rohdaten!G7</f>
        <v>5.5999999999999994E-2</v>
      </c>
      <c r="U7">
        <f>Rohdaten!V26-Rohdaten!H7</f>
        <v>6.0999999999999999E-2</v>
      </c>
      <c r="V7">
        <f>Rohdaten!W26-Rohdaten!I7</f>
        <v>4.9000000000000016E-2</v>
      </c>
      <c r="W7">
        <f>Rohdaten!X26-Rohdaten!J7</f>
        <v>5.5999999999999994E-2</v>
      </c>
      <c r="X7">
        <f>Rohdaten!Y26-Rohdaten!K7</f>
        <v>4.3999999999999997E-2</v>
      </c>
      <c r="Y7">
        <f>Rohdaten!Z26-Rohdaten!L7</f>
        <v>5.9999999999999984E-2</v>
      </c>
      <c r="Z7">
        <f>Rohdaten!AA26-Rohdaten!M7</f>
        <v>0.47799999999999998</v>
      </c>
      <c r="AB7">
        <f>Rohdaten!AD26-Rohdaten!B7</f>
        <v>4.2999999999999997E-2</v>
      </c>
      <c r="AC7">
        <f>Rohdaten!AE26-Rohdaten!C7</f>
        <v>4.5999999999999999E-2</v>
      </c>
      <c r="AD7">
        <f>Rohdaten!AF26-Rohdaten!D7</f>
        <v>0.05</v>
      </c>
      <c r="AE7">
        <f>Rohdaten!AG26-Rohdaten!E7</f>
        <v>0.25700000000000001</v>
      </c>
      <c r="AF7">
        <f>Rohdaten!AH26-Rohdaten!F7</f>
        <v>0.10299999999999999</v>
      </c>
      <c r="AG7">
        <f>Rohdaten!AI26-Rohdaten!G7</f>
        <v>4.9000000000000016E-2</v>
      </c>
      <c r="AH7">
        <f>Rohdaten!AJ26-Rohdaten!H7</f>
        <v>5.8999999999999997E-2</v>
      </c>
      <c r="AI7">
        <f>Rohdaten!AK26-Rohdaten!I7</f>
        <v>4.0000000000000008E-2</v>
      </c>
      <c r="AJ7">
        <f>Rohdaten!AL26-Rohdaten!J7</f>
        <v>5.5999999999999994E-2</v>
      </c>
      <c r="AK7">
        <f>Rohdaten!AM26-Rohdaten!K7</f>
        <v>5.4000000000000006E-2</v>
      </c>
      <c r="AL7">
        <f>Rohdaten!AN26-Rohdaten!L7</f>
        <v>5.2000000000000005E-2</v>
      </c>
      <c r="AM7">
        <f>Rohdaten!AO26-Rohdaten!M7</f>
        <v>0.45599999999999996</v>
      </c>
    </row>
    <row r="8" spans="1:41">
      <c r="B8">
        <f>Rohdaten!B27-Rohdaten!B8</f>
        <v>3.6000000000000004E-2</v>
      </c>
      <c r="C8">
        <f>Rohdaten!C27-Rohdaten!C8</f>
        <v>2.1999999999999992E-2</v>
      </c>
      <c r="D8">
        <f>Rohdaten!D27-Rohdaten!D8</f>
        <v>3.3000000000000002E-2</v>
      </c>
      <c r="E8">
        <f>Rohdaten!E27-Rohdaten!E8</f>
        <v>0.13600000000000001</v>
      </c>
      <c r="F8">
        <f>Rohdaten!F27-Rohdaten!F8</f>
        <v>5.8999999999999983E-2</v>
      </c>
      <c r="G8">
        <f>Rohdaten!G27-Rohdaten!G8</f>
        <v>3.6000000000000004E-2</v>
      </c>
      <c r="H8">
        <f>Rohdaten!H27-Rohdaten!H8</f>
        <v>3.7000000000000005E-2</v>
      </c>
      <c r="I8">
        <f>Rohdaten!I27-Rohdaten!I8</f>
        <v>2.700000000000001E-2</v>
      </c>
      <c r="J8">
        <f>Rohdaten!J27-Rohdaten!J8</f>
        <v>3.4000000000000002E-2</v>
      </c>
      <c r="K8">
        <f>Rohdaten!K27-Rohdaten!K8</f>
        <v>3.1E-2</v>
      </c>
      <c r="L8">
        <f>Rohdaten!L27-Rohdaten!L8</f>
        <v>3.5000000000000003E-2</v>
      </c>
      <c r="M8">
        <f>Rohdaten!M27-Rohdaten!M8</f>
        <v>0.27800000000000002</v>
      </c>
      <c r="O8">
        <f>Rohdaten!P27-Rohdaten!B8</f>
        <v>3.5000000000000003E-2</v>
      </c>
      <c r="P8">
        <f>Rohdaten!Q27-Rohdaten!C8</f>
        <v>2.4999999999999994E-2</v>
      </c>
      <c r="Q8">
        <f>Rohdaten!R27-Rohdaten!D8</f>
        <v>3.6000000000000004E-2</v>
      </c>
      <c r="R8">
        <f>Rohdaten!S27-Rohdaten!E8</f>
        <v>0.13400000000000001</v>
      </c>
      <c r="S8">
        <f>Rohdaten!T27-Rohdaten!F8</f>
        <v>6.7999999999999991E-2</v>
      </c>
      <c r="T8">
        <f>Rohdaten!U27-Rohdaten!G8</f>
        <v>3.7000000000000005E-2</v>
      </c>
      <c r="U8">
        <f>Rohdaten!V27-Rohdaten!H8</f>
        <v>4.1000000000000009E-2</v>
      </c>
      <c r="V8">
        <f>Rohdaten!W27-Rohdaten!I8</f>
        <v>2.8999999999999998E-2</v>
      </c>
      <c r="W8">
        <f>Rohdaten!X27-Rohdaten!J8</f>
        <v>3.7000000000000005E-2</v>
      </c>
      <c r="X8">
        <f>Rohdaten!Y27-Rohdaten!K8</f>
        <v>0.03</v>
      </c>
      <c r="Y8">
        <f>Rohdaten!Z27-Rohdaten!L8</f>
        <v>4.1000000000000009E-2</v>
      </c>
      <c r="Z8">
        <f>Rohdaten!AA27-Rohdaten!M8</f>
        <v>0.22100000000000003</v>
      </c>
      <c r="AB8">
        <f>Rohdaten!AD27-Rohdaten!B8</f>
        <v>2.700000000000001E-2</v>
      </c>
      <c r="AC8">
        <f>Rohdaten!AE27-Rohdaten!C8</f>
        <v>2.7999999999999997E-2</v>
      </c>
      <c r="AD8">
        <f>Rohdaten!AF27-Rohdaten!D8</f>
        <v>3.3000000000000002E-2</v>
      </c>
      <c r="AE8">
        <f>Rohdaten!AG27-Rohdaten!E8</f>
        <v>0.14699999999999999</v>
      </c>
      <c r="AF8">
        <f>Rohdaten!AH27-Rohdaten!F8</f>
        <v>6.8999999999999992E-2</v>
      </c>
      <c r="AG8">
        <f>Rohdaten!AI27-Rohdaten!G8</f>
        <v>3.3000000000000002E-2</v>
      </c>
      <c r="AH8">
        <f>Rohdaten!AJ27-Rohdaten!H8</f>
        <v>3.8000000000000006E-2</v>
      </c>
      <c r="AI8">
        <f>Rohdaten!AK27-Rohdaten!I8</f>
        <v>2.4000000000000007E-2</v>
      </c>
      <c r="AJ8">
        <f>Rohdaten!AL27-Rohdaten!J8</f>
        <v>3.6000000000000004E-2</v>
      </c>
      <c r="AK8">
        <f>Rohdaten!AM27-Rohdaten!K8</f>
        <v>3.5000000000000003E-2</v>
      </c>
      <c r="AL8">
        <f>Rohdaten!AN27-Rohdaten!L8</f>
        <v>3.5000000000000003E-2</v>
      </c>
      <c r="AM8">
        <f>Rohdaten!AO27-Rohdaten!M8</f>
        <v>0.21800000000000003</v>
      </c>
    </row>
    <row r="9" spans="1:41">
      <c r="B9">
        <f>Rohdaten!B28-Rohdaten!B9</f>
        <v>5.9000000000000011E-2</v>
      </c>
      <c r="C9">
        <f>Rohdaten!C28-Rohdaten!C9</f>
        <v>4.1999999999999996E-2</v>
      </c>
      <c r="D9">
        <f>Rohdaten!D28-Rohdaten!D9</f>
        <v>4.3999999999999997E-2</v>
      </c>
      <c r="E9">
        <f>Rohdaten!E28-Rohdaten!E9</f>
        <v>2.2999999999999993E-2</v>
      </c>
      <c r="F9">
        <f>Rohdaten!F28-Rohdaten!F9</f>
        <v>0.05</v>
      </c>
      <c r="G9">
        <f>Rohdaten!G28-Rohdaten!G9</f>
        <v>-0.19400000000000001</v>
      </c>
      <c r="H9">
        <f>Rohdaten!H28-Rohdaten!H9</f>
        <v>0.30299999999999999</v>
      </c>
      <c r="I9">
        <f>Rohdaten!I28-Rohdaten!I9</f>
        <v>0.19900000000000001</v>
      </c>
      <c r="J9">
        <f>Rohdaten!J28-Rohdaten!J9</f>
        <v>3.4000000000000002E-2</v>
      </c>
      <c r="K9">
        <f>Rohdaten!K28-Rohdaten!K9</f>
        <v>7.4999999999999997E-2</v>
      </c>
      <c r="L9">
        <f>Rohdaten!L28-Rohdaten!L9</f>
        <v>4.0999999999999995E-2</v>
      </c>
      <c r="M9">
        <f>Rohdaten!M28-Rohdaten!M9</f>
        <v>4.6000000000000013E-2</v>
      </c>
      <c r="O9">
        <f>Rohdaten!P28-Rohdaten!B9</f>
        <v>6.0999999999999985E-2</v>
      </c>
      <c r="P9">
        <f>Rohdaten!Q28-Rohdaten!C9</f>
        <v>4.5999999999999999E-2</v>
      </c>
      <c r="Q9">
        <f>Rohdaten!R28-Rohdaten!D9</f>
        <v>4.9000000000000002E-2</v>
      </c>
      <c r="R9">
        <f>Rohdaten!S28-Rohdaten!E9</f>
        <v>2.4999999999999994E-2</v>
      </c>
      <c r="S9">
        <f>Rohdaten!T28-Rohdaten!F9</f>
        <v>6.0000000000000012E-2</v>
      </c>
      <c r="T9">
        <f>Rohdaten!U28-Rohdaten!G9</f>
        <v>-0.188</v>
      </c>
      <c r="U9">
        <f>Rohdaten!V28-Rohdaten!H9</f>
        <v>0.32600000000000001</v>
      </c>
      <c r="V9">
        <f>Rohdaten!W28-Rohdaten!I9</f>
        <v>0.189</v>
      </c>
      <c r="W9">
        <f>Rohdaten!X28-Rohdaten!J9</f>
        <v>3.1E-2</v>
      </c>
      <c r="X9">
        <f>Rohdaten!Y28-Rohdaten!K9</f>
        <v>5.5000000000000007E-2</v>
      </c>
      <c r="Y9">
        <f>Rohdaten!Z28-Rohdaten!L9</f>
        <v>4.2999999999999997E-2</v>
      </c>
      <c r="Z9">
        <f>Rohdaten!AA28-Rohdaten!M9</f>
        <v>3.9000000000000007E-2</v>
      </c>
      <c r="AB9">
        <f>Rohdaten!AD28-Rohdaten!B9</f>
        <v>5.9000000000000011E-2</v>
      </c>
      <c r="AC9">
        <f>Rohdaten!AE28-Rohdaten!C9</f>
        <v>4.8000000000000001E-2</v>
      </c>
      <c r="AD9">
        <f>Rohdaten!AF28-Rohdaten!D9</f>
        <v>5.2000000000000005E-2</v>
      </c>
      <c r="AE9">
        <f>Rohdaten!AG28-Rohdaten!E9</f>
        <v>1.5000000000000013E-2</v>
      </c>
      <c r="AF9">
        <f>Rohdaten!AH28-Rohdaten!F9</f>
        <v>6.4999999999999988E-2</v>
      </c>
      <c r="AG9">
        <f>Rohdaten!AI28-Rohdaten!G9</f>
        <v>-0.21600000000000003</v>
      </c>
      <c r="AH9">
        <f>Rohdaten!AJ28-Rohdaten!H9</f>
        <v>0.34400000000000003</v>
      </c>
      <c r="AI9">
        <f>Rohdaten!AK28-Rohdaten!I9</f>
        <v>0.21000000000000002</v>
      </c>
      <c r="AJ9">
        <f>Rohdaten!AL28-Rohdaten!J9</f>
        <v>3.9000000000000007E-2</v>
      </c>
      <c r="AK9">
        <f>Rohdaten!AM28-Rohdaten!K9</f>
        <v>5.2000000000000005E-2</v>
      </c>
      <c r="AL9">
        <f>Rohdaten!AN28-Rohdaten!L9</f>
        <v>4.0999999999999995E-2</v>
      </c>
      <c r="AM9">
        <f>Rohdaten!AO28-Rohdaten!M9</f>
        <v>4.300000000000001E-2</v>
      </c>
    </row>
    <row r="10" spans="1:41">
      <c r="B10">
        <f>Rohdaten!B29-Rohdaten!B10</f>
        <v>3.8000000000000006E-2</v>
      </c>
      <c r="C10">
        <f>Rohdaten!C29-Rohdaten!C10</f>
        <v>2.5999999999999995E-2</v>
      </c>
      <c r="D10">
        <f>Rohdaten!D29-Rohdaten!D10</f>
        <v>2.8000000000000011E-2</v>
      </c>
      <c r="E10">
        <f>Rohdaten!E29-Rohdaten!E10</f>
        <v>-5.0000000000000044E-3</v>
      </c>
      <c r="F10">
        <f>Rohdaten!F29-Rohdaten!F10</f>
        <v>3.2000000000000001E-2</v>
      </c>
      <c r="G10">
        <f>Rohdaten!G29-Rohdaten!G10</f>
        <v>5.099999999999999E-2</v>
      </c>
      <c r="H10">
        <f>Rohdaten!H29-Rohdaten!H10</f>
        <v>0.1</v>
      </c>
      <c r="I10">
        <f>Rohdaten!I29-Rohdaten!I10</f>
        <v>0.121</v>
      </c>
      <c r="J10">
        <f>Rohdaten!J29-Rohdaten!J10</f>
        <v>1.8000000000000002E-2</v>
      </c>
      <c r="K10">
        <f>Rohdaten!K29-Rohdaten!K10</f>
        <v>4.6000000000000013E-2</v>
      </c>
      <c r="L10">
        <f>Rohdaten!L29-Rohdaten!L10</f>
        <v>2.4000000000000007E-2</v>
      </c>
      <c r="M10">
        <f>Rohdaten!M29-Rohdaten!M10</f>
        <v>2.8999999999999998E-2</v>
      </c>
      <c r="O10">
        <f>Rohdaten!P29-Rohdaten!B10</f>
        <v>3.9000000000000007E-2</v>
      </c>
      <c r="P10">
        <f>Rohdaten!Q29-Rohdaten!C10</f>
        <v>0.03</v>
      </c>
      <c r="Q10">
        <f>Rohdaten!R29-Rohdaten!D10</f>
        <v>3.2000000000000001E-2</v>
      </c>
      <c r="R10">
        <f>Rohdaten!S29-Rohdaten!E10</f>
        <v>-4.0000000000000036E-3</v>
      </c>
      <c r="S10">
        <f>Rohdaten!T29-Rohdaten!F10</f>
        <v>3.8999999999999993E-2</v>
      </c>
      <c r="T10">
        <f>Rohdaten!U29-Rohdaten!G10</f>
        <v>5.4999999999999993E-2</v>
      </c>
      <c r="U10">
        <f>Rohdaten!V29-Rohdaten!H10</f>
        <v>0.10100000000000001</v>
      </c>
      <c r="V10">
        <f>Rohdaten!W29-Rohdaten!I10</f>
        <v>0.12</v>
      </c>
      <c r="W10">
        <f>Rohdaten!X29-Rohdaten!J10</f>
        <v>1.8000000000000002E-2</v>
      </c>
      <c r="X10">
        <f>Rohdaten!Y29-Rohdaten!K10</f>
        <v>3.8000000000000006E-2</v>
      </c>
      <c r="Y10">
        <f>Rohdaten!Z29-Rohdaten!L10</f>
        <v>2.6000000000000009E-2</v>
      </c>
      <c r="Z10">
        <f>Rohdaten!AA29-Rohdaten!M10</f>
        <v>2.5000000000000008E-2</v>
      </c>
      <c r="AB10">
        <f>Rohdaten!AD29-Rohdaten!B10</f>
        <v>3.7000000000000005E-2</v>
      </c>
      <c r="AC10">
        <f>Rohdaten!AE29-Rohdaten!C10</f>
        <v>2.8999999999999998E-2</v>
      </c>
      <c r="AD10">
        <f>Rohdaten!AF29-Rohdaten!D10</f>
        <v>3.3000000000000002E-2</v>
      </c>
      <c r="AE10">
        <f>Rohdaten!AG29-Rohdaten!E10</f>
        <v>-7.0000000000000062E-3</v>
      </c>
      <c r="AF10">
        <f>Rohdaten!AH29-Rohdaten!F10</f>
        <v>4.0999999999999995E-2</v>
      </c>
      <c r="AG10">
        <f>Rohdaten!AI29-Rohdaten!G10</f>
        <v>5.2999999999999992E-2</v>
      </c>
      <c r="AH10">
        <f>Rohdaten!AJ29-Rohdaten!H10</f>
        <v>0.11599999999999999</v>
      </c>
      <c r="AI10">
        <f>Rohdaten!AK29-Rohdaten!I10</f>
        <v>0.129</v>
      </c>
      <c r="AJ10">
        <f>Rohdaten!AL29-Rohdaten!J10</f>
        <v>2.1000000000000005E-2</v>
      </c>
      <c r="AK10">
        <f>Rohdaten!AM29-Rohdaten!K10</f>
        <v>3.4000000000000002E-2</v>
      </c>
      <c r="AL10">
        <f>Rohdaten!AN29-Rohdaten!L10</f>
        <v>2.6000000000000009E-2</v>
      </c>
      <c r="AM10">
        <f>Rohdaten!AO29-Rohdaten!M10</f>
        <v>2.700000000000001E-2</v>
      </c>
    </row>
    <row r="11" spans="1:41">
      <c r="B11">
        <f>Rohdaten!B30-Rohdaten!B11</f>
        <v>-3.8000000000000006E-2</v>
      </c>
      <c r="C11">
        <f>Rohdaten!C30-Rohdaten!C11</f>
        <v>2.5000000000000008E-2</v>
      </c>
      <c r="D11">
        <f>Rohdaten!D30-Rohdaten!D11</f>
        <v>4.0999999999999995E-2</v>
      </c>
      <c r="E11">
        <f>Rohdaten!E30-Rohdaten!E11</f>
        <v>0.15999999999999998</v>
      </c>
      <c r="F11">
        <f>Rohdaten!F30-Rohdaten!F11</f>
        <v>0.24200000000000002</v>
      </c>
      <c r="G11">
        <f>Rohdaten!G30-Rohdaten!G11</f>
        <v>4.8000000000000015E-2</v>
      </c>
      <c r="H11">
        <f>Rohdaten!H30-Rohdaten!H11</f>
        <v>4.4000000000000011E-2</v>
      </c>
      <c r="I11">
        <f>Rohdaten!I30-Rohdaten!I11</f>
        <v>4.9000000000000002E-2</v>
      </c>
      <c r="J11">
        <f>Rohdaten!J30-Rohdaten!J11</f>
        <v>2.6999999999999996E-2</v>
      </c>
      <c r="K11">
        <f>Rohdaten!K30-Rohdaten!K11</f>
        <v>4.2999999999999997E-2</v>
      </c>
      <c r="L11">
        <f>Rohdaten!L30-Rohdaten!L11</f>
        <v>3.4999999999999989E-2</v>
      </c>
      <c r="M11">
        <f>Rohdaten!M30-Rohdaten!M11</f>
        <v>0.17500000000000002</v>
      </c>
      <c r="O11">
        <f>Rohdaten!P30-Rohdaten!B11</f>
        <v>-4.4000000000000011E-2</v>
      </c>
      <c r="P11">
        <f>Rohdaten!Q30-Rohdaten!C11</f>
        <v>2.0000000000000004E-2</v>
      </c>
      <c r="Q11">
        <f>Rohdaten!R30-Rohdaten!D11</f>
        <v>4.5999999999999999E-2</v>
      </c>
      <c r="R11">
        <f>Rohdaten!S30-Rohdaten!E11</f>
        <v>0.15100000000000002</v>
      </c>
      <c r="S11">
        <f>Rohdaten!T30-Rohdaten!F11</f>
        <v>0.27</v>
      </c>
      <c r="T11">
        <f>Rohdaten!U30-Rohdaten!G11</f>
        <v>4.8000000000000015E-2</v>
      </c>
      <c r="U11">
        <f>Rohdaten!V30-Rohdaten!H11</f>
        <v>5.099999999999999E-2</v>
      </c>
      <c r="V11">
        <f>Rohdaten!W30-Rohdaten!I11</f>
        <v>5.599999999999998E-2</v>
      </c>
      <c r="W11">
        <f>Rohdaten!X30-Rohdaten!J11</f>
        <v>2.4999999999999994E-2</v>
      </c>
      <c r="X11">
        <f>Rohdaten!Y30-Rohdaten!K11</f>
        <v>5.9999999999999984E-2</v>
      </c>
      <c r="Y11">
        <f>Rohdaten!Z30-Rohdaten!L11</f>
        <v>3.9999999999999994E-2</v>
      </c>
      <c r="Z11">
        <f>Rohdaten!AA30-Rohdaten!M11</f>
        <v>0.19100000000000003</v>
      </c>
      <c r="AB11">
        <f>Rohdaten!AD30-Rohdaten!B11</f>
        <v>-4.4000000000000011E-2</v>
      </c>
      <c r="AC11">
        <f>Rohdaten!AE30-Rohdaten!C11</f>
        <v>2.700000000000001E-2</v>
      </c>
      <c r="AD11">
        <f>Rohdaten!AF30-Rohdaten!D11</f>
        <v>4.0999999999999995E-2</v>
      </c>
      <c r="AE11">
        <f>Rohdaten!AG30-Rohdaten!E11</f>
        <v>0.13600000000000001</v>
      </c>
      <c r="AF11">
        <f>Rohdaten!AH30-Rohdaten!F11</f>
        <v>0.23900000000000002</v>
      </c>
      <c r="AG11">
        <f>Rohdaten!AI30-Rohdaten!G11</f>
        <v>4.6000000000000013E-2</v>
      </c>
      <c r="AH11">
        <f>Rohdaten!AJ30-Rohdaten!H11</f>
        <v>4.9999999999999989E-2</v>
      </c>
      <c r="AI11">
        <f>Rohdaten!AK30-Rohdaten!I11</f>
        <v>4.2999999999999997E-2</v>
      </c>
      <c r="AJ11">
        <f>Rohdaten!AL30-Rohdaten!J11</f>
        <v>2.8999999999999998E-2</v>
      </c>
      <c r="AK11">
        <f>Rohdaten!AM30-Rohdaten!K11</f>
        <v>3.9999999999999994E-2</v>
      </c>
      <c r="AL11">
        <f>Rohdaten!AN30-Rohdaten!L11</f>
        <v>3.3999999999999989E-2</v>
      </c>
      <c r="AM11">
        <f>Rohdaten!AO30-Rohdaten!M11</f>
        <v>0.157</v>
      </c>
    </row>
    <row r="12" spans="1:41">
      <c r="B12">
        <f>Rohdaten!B31-Rohdaten!B12</f>
        <v>-4.4999999999999998E-2</v>
      </c>
      <c r="C12">
        <f>Rohdaten!C31-Rohdaten!C12</f>
        <v>1.0000000000000009E-2</v>
      </c>
      <c r="D12">
        <f>Rohdaten!D31-Rohdaten!D12</f>
        <v>2.5000000000000008E-2</v>
      </c>
      <c r="E12">
        <f>Rohdaten!E31-Rohdaten!E12</f>
        <v>0.11399999999999999</v>
      </c>
      <c r="F12">
        <f>Rohdaten!F31-Rohdaten!F12</f>
        <v>1.1999999999999997E-2</v>
      </c>
      <c r="G12">
        <f>Rohdaten!G31-Rohdaten!G12</f>
        <v>0.03</v>
      </c>
      <c r="H12">
        <f>Rohdaten!H31-Rohdaten!H12</f>
        <v>0.03</v>
      </c>
      <c r="I12">
        <f>Rohdaten!I31-Rohdaten!I12</f>
        <v>3.3000000000000002E-2</v>
      </c>
      <c r="J12">
        <f>Rohdaten!J31-Rohdaten!J12</f>
        <v>9.999999999999995E-3</v>
      </c>
      <c r="K12">
        <f>Rohdaten!K31-Rohdaten!K12</f>
        <v>2.3000000000000007E-2</v>
      </c>
      <c r="L12">
        <f>Rohdaten!L31-Rohdaten!L12</f>
        <v>2.0000000000000004E-2</v>
      </c>
      <c r="M12">
        <f>Rohdaten!M31-Rohdaten!M12</f>
        <v>3.2000000000000001E-2</v>
      </c>
      <c r="O12">
        <f>Rohdaten!P31-Rohdaten!B12</f>
        <v>-0.05</v>
      </c>
      <c r="P12">
        <f>Rohdaten!Q31-Rohdaten!C12</f>
        <v>9.000000000000008E-3</v>
      </c>
      <c r="Q12">
        <f>Rohdaten!R31-Rohdaten!D12</f>
        <v>0.03</v>
      </c>
      <c r="R12">
        <f>Rohdaten!S31-Rohdaten!E12</f>
        <v>0.10799999999999998</v>
      </c>
      <c r="S12">
        <f>Rohdaten!T31-Rohdaten!F12</f>
        <v>1.7999999999999988E-2</v>
      </c>
      <c r="T12">
        <f>Rohdaten!U31-Rohdaten!G12</f>
        <v>3.1E-2</v>
      </c>
      <c r="U12">
        <f>Rohdaten!V31-Rohdaten!H12</f>
        <v>3.5000000000000003E-2</v>
      </c>
      <c r="V12">
        <f>Rohdaten!W31-Rohdaten!I12</f>
        <v>3.9000000000000007E-2</v>
      </c>
      <c r="W12">
        <f>Rohdaten!X31-Rohdaten!J12</f>
        <v>1.0999999999999996E-2</v>
      </c>
      <c r="X12">
        <f>Rohdaten!Y31-Rohdaten!K12</f>
        <v>4.300000000000001E-2</v>
      </c>
      <c r="Y12">
        <f>Rohdaten!Z31-Rohdaten!L12</f>
        <v>2.5000000000000008E-2</v>
      </c>
      <c r="Z12">
        <f>Rohdaten!AA31-Rohdaten!M12</f>
        <v>3.3000000000000002E-2</v>
      </c>
      <c r="AB12">
        <f>Rohdaten!AD31-Rohdaten!B12</f>
        <v>-0.05</v>
      </c>
      <c r="AC12">
        <f>Rohdaten!AE31-Rohdaten!C12</f>
        <v>1.100000000000001E-2</v>
      </c>
      <c r="AD12">
        <f>Rohdaten!AF31-Rohdaten!D12</f>
        <v>2.6000000000000009E-2</v>
      </c>
      <c r="AE12">
        <f>Rohdaten!AG31-Rohdaten!E12</f>
        <v>9.7000000000000003E-2</v>
      </c>
      <c r="AF12">
        <f>Rohdaten!AH31-Rohdaten!F12</f>
        <v>1.6999999999999987E-2</v>
      </c>
      <c r="AG12">
        <f>Rohdaten!AI31-Rohdaten!G12</f>
        <v>2.8999999999999998E-2</v>
      </c>
      <c r="AH12">
        <f>Rohdaten!AJ31-Rohdaten!H12</f>
        <v>3.2000000000000001E-2</v>
      </c>
      <c r="AI12">
        <f>Rohdaten!AK31-Rohdaten!I12</f>
        <v>2.9000000000000012E-2</v>
      </c>
      <c r="AJ12">
        <f>Rohdaten!AL31-Rohdaten!J12</f>
        <v>1.3999999999999999E-2</v>
      </c>
      <c r="AK12">
        <f>Rohdaten!AM31-Rohdaten!K12</f>
        <v>2.1000000000000005E-2</v>
      </c>
      <c r="AL12">
        <f>Rohdaten!AN31-Rohdaten!L12</f>
        <v>2.0000000000000004E-2</v>
      </c>
      <c r="AM12">
        <f>Rohdaten!AO31-Rohdaten!M12</f>
        <v>3.2000000000000001E-2</v>
      </c>
    </row>
    <row r="13" spans="1:41">
      <c r="B13">
        <f>Rohdaten!B32-Rohdaten!B13</f>
        <v>3.7000000000000005E-2</v>
      </c>
      <c r="C13">
        <f>Rohdaten!C32-Rohdaten!C13</f>
        <v>3.3999999999999989E-2</v>
      </c>
      <c r="D13">
        <f>Rohdaten!D32-Rohdaten!D13</f>
        <v>2.6999999999999996E-2</v>
      </c>
      <c r="E13">
        <f>Rohdaten!E32-Rohdaten!E13</f>
        <v>4.300000000000001E-2</v>
      </c>
      <c r="F13">
        <f>Rohdaten!F32-Rohdaten!F13</f>
        <v>6.7999999999999991E-2</v>
      </c>
      <c r="G13">
        <f>Rohdaten!G32-Rohdaten!G13</f>
        <v>4.200000000000001E-2</v>
      </c>
      <c r="H13">
        <f>Rohdaten!H32-Rohdaten!H13</f>
        <v>4.0999999999999995E-2</v>
      </c>
      <c r="I13">
        <f>Rohdaten!I32-Rohdaten!I13</f>
        <v>4.5999999999999985E-2</v>
      </c>
      <c r="J13">
        <f>Rohdaten!J32-Rohdaten!J13</f>
        <v>0.10400000000000001</v>
      </c>
      <c r="K13">
        <f>Rohdaten!K32-Rohdaten!K13</f>
        <v>0.03</v>
      </c>
      <c r="L13">
        <f>Rohdaten!L32-Rohdaten!L13</f>
        <v>3.8999999999999993E-2</v>
      </c>
      <c r="M13">
        <f>Rohdaten!M32-Rohdaten!M13</f>
        <v>1.7000000000000015E-2</v>
      </c>
      <c r="O13">
        <f>Rohdaten!P32-Rohdaten!B13</f>
        <v>4.8000000000000015E-2</v>
      </c>
      <c r="P13">
        <f>Rohdaten!Q32-Rohdaten!C13</f>
        <v>3.6999999999999991E-2</v>
      </c>
      <c r="Q13">
        <f>Rohdaten!R32-Rohdaten!D13</f>
        <v>7.0000000000000062E-3</v>
      </c>
      <c r="R13">
        <f>Rohdaten!S32-Rohdaten!E13</f>
        <v>3.9000000000000007E-2</v>
      </c>
      <c r="S13">
        <f>Rohdaten!T32-Rohdaten!F13</f>
        <v>7.3999999999999996E-2</v>
      </c>
      <c r="T13">
        <f>Rohdaten!U32-Rohdaten!G13</f>
        <v>3.9000000000000007E-2</v>
      </c>
      <c r="U13">
        <f>Rohdaten!V32-Rohdaten!H13</f>
        <v>6.0000000000000012E-2</v>
      </c>
      <c r="V13">
        <f>Rohdaten!W32-Rohdaten!I13</f>
        <v>3.6000000000000004E-2</v>
      </c>
      <c r="W13">
        <f>Rohdaten!X32-Rohdaten!J13</f>
        <v>0.11399999999999999</v>
      </c>
      <c r="X13">
        <f>Rohdaten!Y32-Rohdaten!K13</f>
        <v>3.2000000000000001E-2</v>
      </c>
      <c r="Y13">
        <f>Rohdaten!Z32-Rohdaten!L13</f>
        <v>4.8000000000000001E-2</v>
      </c>
      <c r="Z13">
        <f>Rohdaten!AA32-Rohdaten!M13</f>
        <v>5.0000000000000044E-3</v>
      </c>
      <c r="AB13">
        <f>Rohdaten!AD32-Rohdaten!B13</f>
        <v>3.4000000000000002E-2</v>
      </c>
      <c r="AC13">
        <f>Rohdaten!AE32-Rohdaten!C13</f>
        <v>4.2999999999999997E-2</v>
      </c>
      <c r="AD13">
        <f>Rohdaten!AF32-Rohdaten!D13</f>
        <v>1.4000000000000012E-2</v>
      </c>
      <c r="AE13">
        <f>Rohdaten!AG32-Rohdaten!E13</f>
        <v>3.8000000000000006E-2</v>
      </c>
      <c r="AF13">
        <f>Rohdaten!AH32-Rohdaten!F13</f>
        <v>7.6999999999999999E-2</v>
      </c>
      <c r="AG13">
        <f>Rohdaten!AI32-Rohdaten!G13</f>
        <v>4.0000000000000008E-2</v>
      </c>
      <c r="AH13">
        <f>Rohdaten!AJ32-Rohdaten!H13</f>
        <v>5.5000000000000007E-2</v>
      </c>
      <c r="AI13">
        <f>Rohdaten!AK32-Rohdaten!I13</f>
        <v>2.4999999999999994E-2</v>
      </c>
      <c r="AJ13">
        <f>Rohdaten!AL32-Rohdaten!J13</f>
        <v>0.11099999999999999</v>
      </c>
      <c r="AK13">
        <f>Rohdaten!AM32-Rohdaten!K13</f>
        <v>5.2999999999999992E-2</v>
      </c>
      <c r="AL13">
        <f>Rohdaten!AN32-Rohdaten!L13</f>
        <v>3.3999999999999989E-2</v>
      </c>
      <c r="AM13">
        <f>Rohdaten!AO32-Rohdaten!M13</f>
        <v>1.4000000000000012E-2</v>
      </c>
    </row>
    <row r="14" spans="1:41">
      <c r="B14">
        <f>Rohdaten!B33-Rohdaten!B14</f>
        <v>2.1000000000000005E-2</v>
      </c>
      <c r="C14">
        <f>Rohdaten!C33-Rohdaten!C14</f>
        <v>1.9000000000000003E-2</v>
      </c>
      <c r="D14">
        <f>Rohdaten!D33-Rohdaten!D14</f>
        <v>1.1999999999999997E-2</v>
      </c>
      <c r="E14">
        <f>Rohdaten!E33-Rohdaten!E14</f>
        <v>2.6999999999999996E-2</v>
      </c>
      <c r="F14">
        <f>Rohdaten!F33-Rohdaten!F14</f>
        <v>2.6999999999999996E-2</v>
      </c>
      <c r="G14">
        <f>Rohdaten!G33-Rohdaten!G14</f>
        <v>2.5000000000000008E-2</v>
      </c>
      <c r="H14">
        <f>Rohdaten!H33-Rohdaten!H14</f>
        <v>2.6999999999999996E-2</v>
      </c>
      <c r="I14">
        <f>Rohdaten!I33-Rohdaten!I14</f>
        <v>2.7999999999999997E-2</v>
      </c>
      <c r="J14">
        <f>Rohdaten!J33-Rohdaten!J14</f>
        <v>1.2000000000000011E-2</v>
      </c>
      <c r="K14">
        <f>Rohdaten!K33-Rohdaten!K14</f>
        <v>2.3000000000000007E-2</v>
      </c>
      <c r="L14">
        <f>Rohdaten!L33-Rohdaten!L14</f>
        <v>2.5000000000000008E-2</v>
      </c>
      <c r="M14">
        <f>Rohdaten!M33-Rohdaten!M14</f>
        <v>5.0000000000000044E-3</v>
      </c>
      <c r="O14">
        <f>Rohdaten!P33-Rohdaten!B14</f>
        <v>2.8999999999999998E-2</v>
      </c>
      <c r="P14">
        <f>Rohdaten!Q33-Rohdaten!C14</f>
        <v>2.3000000000000007E-2</v>
      </c>
      <c r="Q14">
        <f>Rohdaten!R33-Rohdaten!D14</f>
        <v>7.0000000000000062E-3</v>
      </c>
      <c r="R14">
        <f>Rohdaten!S33-Rohdaten!E14</f>
        <v>2.4999999999999994E-2</v>
      </c>
      <c r="S14">
        <f>Rohdaten!T33-Rohdaten!F14</f>
        <v>3.1E-2</v>
      </c>
      <c r="T14">
        <f>Rohdaten!U33-Rohdaten!G14</f>
        <v>2.5999999999999995E-2</v>
      </c>
      <c r="U14">
        <f>Rohdaten!V33-Rohdaten!H14</f>
        <v>3.9999999999999994E-2</v>
      </c>
      <c r="V14">
        <f>Rohdaten!W33-Rohdaten!I14</f>
        <v>2.2999999999999993E-2</v>
      </c>
      <c r="W14">
        <f>Rohdaten!X33-Rohdaten!J14</f>
        <v>2.2000000000000006E-2</v>
      </c>
      <c r="X14">
        <f>Rohdaten!Y33-Rohdaten!K14</f>
        <v>2.700000000000001E-2</v>
      </c>
      <c r="Y14">
        <f>Rohdaten!Z33-Rohdaten!L14</f>
        <v>3.4000000000000002E-2</v>
      </c>
      <c r="Z14">
        <f>Rohdaten!AA33-Rohdaten!M14</f>
        <v>-2.0000000000000018E-3</v>
      </c>
      <c r="AB14">
        <f>Rohdaten!AD33-Rohdaten!B14</f>
        <v>1.9000000000000003E-2</v>
      </c>
      <c r="AC14">
        <f>Rohdaten!AE33-Rohdaten!C14</f>
        <v>2.5000000000000008E-2</v>
      </c>
      <c r="AD14">
        <f>Rohdaten!AF33-Rohdaten!D14</f>
        <v>1.0999999999999996E-2</v>
      </c>
      <c r="AE14">
        <f>Rohdaten!AG33-Rohdaten!E14</f>
        <v>2.1999999999999992E-2</v>
      </c>
      <c r="AF14">
        <f>Rohdaten!AH33-Rohdaten!F14</f>
        <v>3.2000000000000001E-2</v>
      </c>
      <c r="AG14">
        <f>Rohdaten!AI33-Rohdaten!G14</f>
        <v>2.4000000000000007E-2</v>
      </c>
      <c r="AH14">
        <f>Rohdaten!AJ33-Rohdaten!H14</f>
        <v>3.599999999999999E-2</v>
      </c>
      <c r="AI14">
        <f>Rohdaten!AK33-Rohdaten!I14</f>
        <v>1.3999999999999999E-2</v>
      </c>
      <c r="AJ14">
        <f>Rohdaten!AL33-Rohdaten!J14</f>
        <v>1.6E-2</v>
      </c>
      <c r="AK14">
        <f>Rohdaten!AM33-Rohdaten!K14</f>
        <v>3.8000000000000006E-2</v>
      </c>
      <c r="AL14">
        <f>Rohdaten!AN33-Rohdaten!L14</f>
        <v>2.2000000000000006E-2</v>
      </c>
      <c r="AM14">
        <f>Rohdaten!AO33-Rohdaten!M14</f>
        <v>3.0000000000000027E-3</v>
      </c>
    </row>
    <row r="15" spans="1:41">
      <c r="B15">
        <f>Rohdaten!B34-Rohdaten!B15</f>
        <v>6.1999999999999986E-2</v>
      </c>
      <c r="C15">
        <f>Rohdaten!C34-Rohdaten!C15</f>
        <v>0.17699999999999999</v>
      </c>
      <c r="D15">
        <f>Rohdaten!D34-Rohdaten!D15</f>
        <v>4.9000000000000002E-2</v>
      </c>
      <c r="E15">
        <f>Rohdaten!E34-Rohdaten!E15</f>
        <v>8.5999999999999993E-2</v>
      </c>
      <c r="F15">
        <f>Rohdaten!F34-Rohdaten!F15</f>
        <v>1.3999999999999999E-2</v>
      </c>
      <c r="G15">
        <f>Rohdaten!G34-Rohdaten!G15</f>
        <v>4.0999999999999995E-2</v>
      </c>
      <c r="H15">
        <f>Rohdaten!H34-Rohdaten!H15</f>
        <v>2.1999999999999992E-2</v>
      </c>
      <c r="I15">
        <f>Rohdaten!I34-Rohdaten!I15</f>
        <v>3.4000000000000002E-2</v>
      </c>
      <c r="J15">
        <f>Rohdaten!J34-Rohdaten!J15</f>
        <v>1.8999999999999989E-2</v>
      </c>
      <c r="K15">
        <f>Rohdaten!K34-Rohdaten!K15</f>
        <v>3.7000000000000005E-2</v>
      </c>
      <c r="L15">
        <f>Rohdaten!L34-Rohdaten!L15</f>
        <v>1.6E-2</v>
      </c>
      <c r="M15">
        <f>Rohdaten!M34-Rohdaten!M15</f>
        <v>1.999999999999999E-2</v>
      </c>
      <c r="O15">
        <f>Rohdaten!P34-Rohdaten!B15</f>
        <v>3.2999999999999988E-2</v>
      </c>
      <c r="P15">
        <f>Rohdaten!Q34-Rohdaten!C15</f>
        <v>0.05</v>
      </c>
      <c r="Q15">
        <f>Rohdaten!R34-Rohdaten!D15</f>
        <v>4.4999999999999998E-2</v>
      </c>
      <c r="R15">
        <f>Rohdaten!S34-Rohdaten!E15</f>
        <v>0.13200000000000001</v>
      </c>
      <c r="S15">
        <f>Rohdaten!T34-Rohdaten!F15</f>
        <v>2.1000000000000005E-2</v>
      </c>
      <c r="T15">
        <f>Rohdaten!U34-Rohdaten!G15</f>
        <v>3.9999999999999994E-2</v>
      </c>
      <c r="U15">
        <f>Rohdaten!V34-Rohdaten!H15</f>
        <v>2.2999999999999993E-2</v>
      </c>
      <c r="V15">
        <f>Rohdaten!W34-Rohdaten!I15</f>
        <v>3.8000000000000006E-2</v>
      </c>
      <c r="W15">
        <f>Rohdaten!X34-Rohdaten!J15</f>
        <v>2.3999999999999994E-2</v>
      </c>
      <c r="X15">
        <f>Rohdaten!Y34-Rohdaten!K15</f>
        <v>-2.0000000000000018E-2</v>
      </c>
      <c r="Y15">
        <f>Rohdaten!Z34-Rohdaten!L15</f>
        <v>2.2000000000000006E-2</v>
      </c>
      <c r="Z15">
        <f>Rohdaten!AA34-Rohdaten!M15</f>
        <v>2.0999999999999991E-2</v>
      </c>
      <c r="AB15">
        <f>Rohdaten!AD34-Rohdaten!B15</f>
        <v>4.3999999999999997E-2</v>
      </c>
      <c r="AC15">
        <f>Rohdaten!AE34-Rohdaten!C15</f>
        <v>6.4999999999999988E-2</v>
      </c>
      <c r="AD15">
        <f>Rohdaten!AF34-Rohdaten!D15</f>
        <v>4.1999999999999996E-2</v>
      </c>
      <c r="AE15">
        <f>Rohdaten!AG34-Rohdaten!E15</f>
        <v>0.11399999999999999</v>
      </c>
      <c r="AF15">
        <f>Rohdaten!AH34-Rohdaten!F15</f>
        <v>2.4000000000000007E-2</v>
      </c>
      <c r="AG15">
        <f>Rohdaten!AI34-Rohdaten!G15</f>
        <v>3.2999999999999988E-2</v>
      </c>
      <c r="AH15">
        <f>Rohdaten!AJ34-Rohdaten!H15</f>
        <v>2.0999999999999991E-2</v>
      </c>
      <c r="AI15">
        <f>Rohdaten!AK34-Rohdaten!I15</f>
        <v>2.3999999999999994E-2</v>
      </c>
      <c r="AJ15">
        <f>Rohdaten!AL34-Rohdaten!J15</f>
        <v>3.9000000000000007E-2</v>
      </c>
      <c r="AK15">
        <f>Rohdaten!AM34-Rohdaten!K15</f>
        <v>-1.6000000000000014E-2</v>
      </c>
      <c r="AL15">
        <f>Rohdaten!AN34-Rohdaten!L15</f>
        <v>1.1999999999999997E-2</v>
      </c>
      <c r="AM15">
        <f>Rohdaten!AO34-Rohdaten!M15</f>
        <v>2.1999999999999992E-2</v>
      </c>
    </row>
    <row r="16" spans="1:41">
      <c r="B16">
        <f>Rohdaten!B35-Rohdaten!B16</f>
        <v>3.7000000000000005E-2</v>
      </c>
      <c r="C16">
        <f>Rohdaten!C35-Rohdaten!C16</f>
        <v>0.111</v>
      </c>
      <c r="D16">
        <f>Rohdaten!D35-Rohdaten!D16</f>
        <v>3.2000000000000001E-2</v>
      </c>
      <c r="E16">
        <f>Rohdaten!E35-Rohdaten!E16</f>
        <v>6.1000000000000013E-2</v>
      </c>
      <c r="F16">
        <f>Rohdaten!F35-Rohdaten!F16</f>
        <v>2.9999999999999888E-3</v>
      </c>
      <c r="G16">
        <f>Rohdaten!G35-Rohdaten!G16</f>
        <v>1.9000000000000003E-2</v>
      </c>
      <c r="H16">
        <f>Rohdaten!H35-Rohdaten!H16</f>
        <v>8.9999999999999941E-3</v>
      </c>
      <c r="I16">
        <f>Rohdaten!I35-Rohdaten!I16</f>
        <v>1.9000000000000003E-2</v>
      </c>
      <c r="J16">
        <f>Rohdaten!J35-Rohdaten!J16</f>
        <v>5.0000000000000044E-3</v>
      </c>
      <c r="K16">
        <f>Rohdaten!K35-Rohdaten!K16</f>
        <v>2.0000000000000018E-3</v>
      </c>
      <c r="L16">
        <f>Rohdaten!L35-Rohdaten!L16</f>
        <v>2.0000000000000018E-3</v>
      </c>
      <c r="M16">
        <f>Rohdaten!M35-Rohdaten!M16</f>
        <v>4.9999999999999906E-3</v>
      </c>
      <c r="O16">
        <f>Rohdaten!P35-Rohdaten!B16</f>
        <v>1.9000000000000003E-2</v>
      </c>
      <c r="P16">
        <f>Rohdaten!Q35-Rohdaten!C16</f>
        <v>3.4999999999999989E-2</v>
      </c>
      <c r="Q16">
        <f>Rohdaten!R35-Rohdaten!D16</f>
        <v>2.9000000000000012E-2</v>
      </c>
      <c r="R16">
        <f>Rohdaten!S35-Rohdaten!E16</f>
        <v>9.4000000000000014E-2</v>
      </c>
      <c r="S16">
        <f>Rohdaten!T35-Rohdaten!F16</f>
        <v>7.9999999999999932E-3</v>
      </c>
      <c r="T16">
        <f>Rohdaten!U35-Rohdaten!G16</f>
        <v>2.1000000000000005E-2</v>
      </c>
      <c r="U16">
        <f>Rohdaten!V35-Rohdaten!H16</f>
        <v>9.999999999999995E-3</v>
      </c>
      <c r="V16">
        <f>Rohdaten!W35-Rohdaten!I16</f>
        <v>2.3000000000000007E-2</v>
      </c>
      <c r="W16">
        <f>Rohdaten!X35-Rohdaten!J16</f>
        <v>7.0000000000000062E-3</v>
      </c>
      <c r="X16">
        <f>Rohdaten!Y35-Rohdaten!K16</f>
        <v>-3.1000000000000014E-2</v>
      </c>
      <c r="Y16">
        <f>Rohdaten!Z35-Rohdaten!L16</f>
        <v>6.0000000000000053E-3</v>
      </c>
      <c r="Z16">
        <f>Rohdaten!AA35-Rohdaten!M16</f>
        <v>5.9999999999999915E-3</v>
      </c>
      <c r="AB16">
        <f>Rohdaten!AD35-Rohdaten!B16</f>
        <v>2.6000000000000009E-2</v>
      </c>
      <c r="AC16">
        <f>Rohdaten!AE35-Rohdaten!C16</f>
        <v>4.2999999999999997E-2</v>
      </c>
      <c r="AD16">
        <f>Rohdaten!AF35-Rohdaten!D16</f>
        <v>2.6000000000000009E-2</v>
      </c>
      <c r="AE16">
        <f>Rohdaten!AG35-Rohdaten!E16</f>
        <v>7.6999999999999999E-2</v>
      </c>
      <c r="AF16">
        <f>Rohdaten!AH35-Rohdaten!F16</f>
        <v>7.9999999999999932E-3</v>
      </c>
      <c r="AG16">
        <f>Rohdaten!AI35-Rohdaten!G16</f>
        <v>1.2999999999999998E-2</v>
      </c>
      <c r="AH16">
        <f>Rohdaten!AJ35-Rohdaten!H16</f>
        <v>7.0000000000000062E-3</v>
      </c>
      <c r="AI16">
        <f>Rohdaten!AK35-Rohdaten!I16</f>
        <v>1.1999999999999997E-2</v>
      </c>
      <c r="AJ16">
        <f>Rohdaten!AL35-Rohdaten!J16</f>
        <v>1.6E-2</v>
      </c>
      <c r="AK16">
        <f>Rohdaten!AM35-Rohdaten!K16</f>
        <v>-2.9000000000000012E-2</v>
      </c>
      <c r="AL16">
        <f>Rohdaten!AN35-Rohdaten!L16</f>
        <v>0</v>
      </c>
      <c r="AM16">
        <f>Rohdaten!AO35-Rohdaten!M16</f>
        <v>6.9999999999999923E-3</v>
      </c>
    </row>
    <row r="17" spans="1:41">
      <c r="B17">
        <f>Rohdaten!B36-Rohdaten!B17</f>
        <v>4.1999999999999982E-2</v>
      </c>
      <c r="C17">
        <f>Rohdaten!C36-Rohdaten!C17</f>
        <v>-8.0000000000000071E-3</v>
      </c>
      <c r="D17">
        <f>Rohdaten!D36-Rohdaten!D17</f>
        <v>0.05</v>
      </c>
      <c r="E17">
        <f>Rohdaten!E36-Rohdaten!E17</f>
        <v>3.9000000000000007E-2</v>
      </c>
      <c r="F17">
        <f>Rohdaten!F36-Rohdaten!F17</f>
        <v>4.0999999999999995E-2</v>
      </c>
      <c r="G17">
        <f>Rohdaten!G36-Rohdaten!G17</f>
        <v>4.200000000000001E-2</v>
      </c>
      <c r="H17">
        <f>Rohdaten!H36-Rohdaten!H17</f>
        <v>4.0000000000000008E-2</v>
      </c>
      <c r="I17">
        <f>Rohdaten!I36-Rohdaten!I17</f>
        <v>5.1000000000000018E-2</v>
      </c>
      <c r="J17">
        <f>Rohdaten!J36-Rohdaten!J17</f>
        <v>0.64600000000000002</v>
      </c>
      <c r="K17">
        <f>Rohdaten!K36-Rohdaten!K17</f>
        <v>4.3999999999999997E-2</v>
      </c>
      <c r="L17">
        <f>Rohdaten!L36-Rohdaten!L17</f>
        <v>5.4999999999999993E-2</v>
      </c>
      <c r="M17">
        <f>Rohdaten!M36-Rohdaten!M17</f>
        <v>4.9999999999999989E-2</v>
      </c>
      <c r="O17">
        <f>Rohdaten!P36-Rohdaten!B17</f>
        <v>4.0999999999999981E-2</v>
      </c>
      <c r="P17">
        <f>Rohdaten!Q36-Rohdaten!C17</f>
        <v>5.0000000000000044E-3</v>
      </c>
      <c r="Q17">
        <f>Rohdaten!R36-Rohdaten!D17</f>
        <v>3.7999999999999992E-2</v>
      </c>
      <c r="R17">
        <f>Rohdaten!S36-Rohdaten!E17</f>
        <v>3.4000000000000002E-2</v>
      </c>
      <c r="S17">
        <f>Rohdaten!T36-Rohdaten!F17</f>
        <v>3.8999999999999993E-2</v>
      </c>
      <c r="T17">
        <f>Rohdaten!U36-Rohdaten!G17</f>
        <v>3.8000000000000006E-2</v>
      </c>
      <c r="U17">
        <f>Rohdaten!V36-Rohdaten!H17</f>
        <v>4.0000000000000008E-2</v>
      </c>
      <c r="V17">
        <f>Rohdaten!W36-Rohdaten!I17</f>
        <v>4.4000000000000011E-2</v>
      </c>
      <c r="W17">
        <f>Rohdaten!X36-Rohdaten!J17</f>
        <v>0.61699999999999999</v>
      </c>
      <c r="X17">
        <f>Rohdaten!Y36-Rohdaten!K17</f>
        <v>4.7E-2</v>
      </c>
      <c r="Y17">
        <f>Rohdaten!Z36-Rohdaten!L17</f>
        <v>6.3E-2</v>
      </c>
      <c r="Z17">
        <f>Rohdaten!AA36-Rohdaten!M17</f>
        <v>4.9999999999999989E-2</v>
      </c>
      <c r="AB17">
        <f>Rohdaten!AD36-Rohdaten!B17</f>
        <v>1.3000000000000012E-2</v>
      </c>
      <c r="AC17">
        <f>Rohdaten!AE36-Rohdaten!C17</f>
        <v>4.0000000000000036E-3</v>
      </c>
      <c r="AD17">
        <f>Rohdaten!AF36-Rohdaten!D17</f>
        <v>3.3999999999999989E-2</v>
      </c>
      <c r="AE17">
        <f>Rohdaten!AG36-Rohdaten!E17</f>
        <v>3.3000000000000002E-2</v>
      </c>
      <c r="AF17">
        <f>Rohdaten!AH36-Rohdaten!F17</f>
        <v>3.7999999999999992E-2</v>
      </c>
      <c r="AG17">
        <f>Rohdaten!AI36-Rohdaten!G17</f>
        <v>3.3000000000000002E-2</v>
      </c>
      <c r="AH17">
        <f>Rohdaten!AJ36-Rohdaten!H17</f>
        <v>3.9000000000000007E-2</v>
      </c>
      <c r="AI17">
        <f>Rohdaten!AK36-Rohdaten!I17</f>
        <v>3.8000000000000006E-2</v>
      </c>
      <c r="AJ17">
        <f>Rohdaten!AL36-Rohdaten!J17</f>
        <v>0.68900000000000006</v>
      </c>
      <c r="AK17">
        <f>Rohdaten!AM36-Rohdaten!K17</f>
        <v>4.9000000000000002E-2</v>
      </c>
      <c r="AL17">
        <f>Rohdaten!AN36-Rohdaten!L17</f>
        <v>4.8000000000000015E-2</v>
      </c>
      <c r="AM17">
        <f>Rohdaten!AO36-Rohdaten!M17</f>
        <v>4.200000000000001E-2</v>
      </c>
    </row>
    <row r="18" spans="1:41">
      <c r="B18">
        <f>Rohdaten!B37-Rohdaten!B18</f>
        <v>-3.1E-2</v>
      </c>
      <c r="C18">
        <f>Rohdaten!C37-Rohdaten!C18</f>
        <v>-1.6E-2</v>
      </c>
      <c r="D18">
        <f>Rohdaten!D37-Rohdaten!D18</f>
        <v>0.03</v>
      </c>
      <c r="E18">
        <f>Rohdaten!E37-Rohdaten!E18</f>
        <v>2.2000000000000006E-2</v>
      </c>
      <c r="F18">
        <f>Rohdaten!F37-Rohdaten!F18</f>
        <v>2.4000000000000007E-2</v>
      </c>
      <c r="G18">
        <f>Rohdaten!G37-Rohdaten!G18</f>
        <v>2.4000000000000007E-2</v>
      </c>
      <c r="H18">
        <f>Rohdaten!H37-Rohdaten!H18</f>
        <v>2.4000000000000007E-2</v>
      </c>
      <c r="I18">
        <f>Rohdaten!I37-Rohdaten!I18</f>
        <v>3.3000000000000002E-2</v>
      </c>
      <c r="J18">
        <f>Rohdaten!J37-Rohdaten!J18</f>
        <v>0.222</v>
      </c>
      <c r="K18">
        <f>Rohdaten!K37-Rohdaten!K18</f>
        <v>2.6000000000000009E-2</v>
      </c>
      <c r="L18">
        <f>Rohdaten!L37-Rohdaten!L18</f>
        <v>2.4000000000000007E-2</v>
      </c>
      <c r="M18">
        <f>Rohdaten!M37-Rohdaten!M18</f>
        <v>3.2000000000000001E-2</v>
      </c>
      <c r="O18">
        <f>Rohdaten!P37-Rohdaten!B18</f>
        <v>-0.03</v>
      </c>
      <c r="P18">
        <f>Rohdaten!Q37-Rohdaten!C18</f>
        <v>-7.0000000000000062E-3</v>
      </c>
      <c r="Q18">
        <f>Rohdaten!R37-Rohdaten!D18</f>
        <v>2.2000000000000006E-2</v>
      </c>
      <c r="R18">
        <f>Rohdaten!S37-Rohdaten!E18</f>
        <v>1.9000000000000003E-2</v>
      </c>
      <c r="S18">
        <f>Rohdaten!T37-Rohdaten!F18</f>
        <v>2.4000000000000007E-2</v>
      </c>
      <c r="T18">
        <f>Rohdaten!U37-Rohdaten!G18</f>
        <v>2.2000000000000006E-2</v>
      </c>
      <c r="U18">
        <f>Rohdaten!V37-Rohdaten!H18</f>
        <v>2.5000000000000008E-2</v>
      </c>
      <c r="V18">
        <f>Rohdaten!W37-Rohdaten!I18</f>
        <v>2.7999999999999997E-2</v>
      </c>
      <c r="W18">
        <f>Rohdaten!X37-Rohdaten!J18</f>
        <v>0.18000000000000002</v>
      </c>
      <c r="X18">
        <f>Rohdaten!Y37-Rohdaten!K18</f>
        <v>0.03</v>
      </c>
      <c r="Y18">
        <f>Rohdaten!Z37-Rohdaten!L18</f>
        <v>3.2000000000000001E-2</v>
      </c>
      <c r="Z18">
        <f>Rohdaten!AA37-Rohdaten!M18</f>
        <v>3.2000000000000001E-2</v>
      </c>
      <c r="AB18">
        <f>Rohdaten!AD37-Rohdaten!B18</f>
        <v>-4.7999999999999987E-2</v>
      </c>
      <c r="AC18">
        <f>Rohdaten!AE37-Rohdaten!C18</f>
        <v>-8.0000000000000071E-3</v>
      </c>
      <c r="AD18">
        <f>Rohdaten!AF37-Rohdaten!D18</f>
        <v>1.9000000000000003E-2</v>
      </c>
      <c r="AE18">
        <f>Rohdaten!AG37-Rohdaten!E18</f>
        <v>1.7000000000000001E-2</v>
      </c>
      <c r="AF18">
        <f>Rohdaten!AH37-Rohdaten!F18</f>
        <v>2.1000000000000005E-2</v>
      </c>
      <c r="AG18">
        <f>Rohdaten!AI37-Rohdaten!G18</f>
        <v>1.8000000000000002E-2</v>
      </c>
      <c r="AH18">
        <f>Rohdaten!AJ37-Rohdaten!H18</f>
        <v>2.2000000000000006E-2</v>
      </c>
      <c r="AI18">
        <f>Rohdaten!AK37-Rohdaten!I18</f>
        <v>2.4000000000000007E-2</v>
      </c>
      <c r="AJ18">
        <f>Rohdaten!AL37-Rohdaten!J18</f>
        <v>0.23700000000000002</v>
      </c>
      <c r="AK18">
        <f>Rohdaten!AM37-Rohdaten!K18</f>
        <v>3.3000000000000002E-2</v>
      </c>
      <c r="AL18">
        <f>Rohdaten!AN37-Rohdaten!L18</f>
        <v>2.2000000000000006E-2</v>
      </c>
      <c r="AM18">
        <f>Rohdaten!AO37-Rohdaten!M18</f>
        <v>2.6999999999999996E-2</v>
      </c>
    </row>
    <row r="20" spans="1:41">
      <c r="A20" s="35"/>
      <c r="B20" s="35" t="s">
        <v>11</v>
      </c>
      <c r="C20" s="35" t="s">
        <v>19</v>
      </c>
      <c r="D20" s="35" t="s">
        <v>12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</row>
    <row r="21" spans="1:41">
      <c r="B21">
        <f>Rohdaten!B41-Rohdaten!B22</f>
        <v>-1.0000000000000009E-2</v>
      </c>
      <c r="C21">
        <f>Rohdaten!C41-Rohdaten!C22</f>
        <v>2.2999999999999993E-2</v>
      </c>
      <c r="D21">
        <f>Rohdaten!D41-Rohdaten!D22</f>
        <v>8.0000000000000071E-3</v>
      </c>
      <c r="E21">
        <f>Rohdaten!E41-Rohdaten!E22</f>
        <v>2.6999999999999996E-2</v>
      </c>
      <c r="F21">
        <f>Rohdaten!F41-Rohdaten!F22</f>
        <v>-8.0000000000000071E-3</v>
      </c>
      <c r="G21">
        <f>Rohdaten!G41-Rohdaten!G22</f>
        <v>-6.9999999999999785E-3</v>
      </c>
      <c r="H21">
        <f>Rohdaten!H41-Rohdaten!H22</f>
        <v>-6.9999999999999785E-3</v>
      </c>
      <c r="I21">
        <f>Rohdaten!I41-Rohdaten!I22</f>
        <v>-8.0000000000000071E-3</v>
      </c>
      <c r="J21">
        <f>Rohdaten!J41-Rohdaten!J22</f>
        <v>-9.9999999999999811E-3</v>
      </c>
      <c r="K21">
        <f>Rohdaten!K41-Rohdaten!K22</f>
        <v>5.7000000000000051E-2</v>
      </c>
      <c r="L21">
        <f>Rohdaten!L41-Rohdaten!L22</f>
        <v>-2.0000000000000018E-3</v>
      </c>
      <c r="M21">
        <f>Rohdaten!M41-Rohdaten!M22</f>
        <v>-2.300000000000002E-2</v>
      </c>
      <c r="O21">
        <f>Rohdaten!P41-Rohdaten!P22</f>
        <v>-1.100000000000001E-2</v>
      </c>
      <c r="P21">
        <f>Rohdaten!Q41-Rohdaten!Q22</f>
        <v>-1.0000000000000009E-2</v>
      </c>
      <c r="Q21">
        <f>Rohdaten!R41-Rohdaten!R22</f>
        <v>-1.0000000000000009E-2</v>
      </c>
      <c r="R21">
        <f>Rohdaten!S41-Rohdaten!S22</f>
        <v>-1.0999999999999982E-2</v>
      </c>
      <c r="S21">
        <f>Rohdaten!T41-Rohdaten!T22</f>
        <v>-1.0000000000000009E-2</v>
      </c>
      <c r="T21">
        <f>Rohdaten!U41-Rohdaten!U22</f>
        <v>-5.9999999999999776E-3</v>
      </c>
      <c r="U21">
        <f>Rohdaten!V41-Rohdaten!V22</f>
        <v>-1.0999999999999982E-2</v>
      </c>
      <c r="V21">
        <f>Rohdaten!W41-Rohdaten!W22</f>
        <v>-8.0000000000000071E-3</v>
      </c>
      <c r="W21">
        <f>Rohdaten!X41-Rohdaten!X22</f>
        <v>-1.0999999999999982E-2</v>
      </c>
      <c r="X21">
        <f>Rohdaten!Y41-Rohdaten!Y22</f>
        <v>8.0000000000000016E-2</v>
      </c>
      <c r="Y21">
        <f>Rohdaten!Z41-Rohdaten!Z22</f>
        <v>-7.9999999999999793E-3</v>
      </c>
      <c r="Z21">
        <f>Rohdaten!AA41-Rohdaten!AA22</f>
        <v>-1.799999999999996E-2</v>
      </c>
      <c r="AB21">
        <f>Rohdaten!AD41-Rohdaten!AD22</f>
        <v>-1.100000000000001E-2</v>
      </c>
      <c r="AC21">
        <f>Rohdaten!AE41-Rohdaten!AE22</f>
        <v>-1.3000000000000012E-2</v>
      </c>
      <c r="AD21">
        <f>Rohdaten!AF41-Rohdaten!AF22</f>
        <v>-1.100000000000001E-2</v>
      </c>
      <c r="AE21">
        <f>Rohdaten!AG41-Rohdaten!AG22</f>
        <v>2.300000000000002E-2</v>
      </c>
      <c r="AF21">
        <f>Rohdaten!AH41-Rohdaten!AH22</f>
        <v>-1.0000000000000009E-2</v>
      </c>
      <c r="AG21">
        <f>Rohdaten!AI41-Rohdaten!AI22</f>
        <v>-9.000000000000008E-3</v>
      </c>
      <c r="AH21">
        <f>Rohdaten!AJ41-Rohdaten!AJ22</f>
        <v>-9.000000000000008E-3</v>
      </c>
      <c r="AI21">
        <f>Rohdaten!AK41-Rohdaten!AK22</f>
        <v>2.7999999999999997E-2</v>
      </c>
      <c r="AJ21">
        <f>Rohdaten!AL41-Rohdaten!AL22</f>
        <v>2.1000000000000019E-2</v>
      </c>
      <c r="AK21">
        <f>Rohdaten!AM41-Rohdaten!AM22</f>
        <v>8.7000000000000022E-2</v>
      </c>
      <c r="AL21">
        <f>Rohdaten!AN41-Rohdaten!AN22</f>
        <v>-9.9999999999999811E-3</v>
      </c>
      <c r="AM21">
        <f>Rohdaten!AO41-Rohdaten!AO22</f>
        <v>-2.0999999999999963E-2</v>
      </c>
      <c r="AO21">
        <f>(AB21+O21+B21)/3</f>
        <v>-1.0666666666666677E-2</v>
      </c>
    </row>
    <row r="22" spans="1:41">
      <c r="B22">
        <f>Rohdaten!B42-Rohdaten!B23</f>
        <v>-9.999999999999995E-3</v>
      </c>
      <c r="C22">
        <f>Rohdaten!C42-Rohdaten!C23</f>
        <v>4.0000000000000036E-3</v>
      </c>
      <c r="D22">
        <f>Rohdaten!D42-Rohdaten!D23</f>
        <v>-7.0000000000000062E-3</v>
      </c>
      <c r="E22">
        <f>Rohdaten!E42-Rohdaten!E23</f>
        <v>5.0000000000000044E-3</v>
      </c>
      <c r="F22">
        <f>Rohdaten!F42-Rohdaten!F23</f>
        <v>-9.000000000000008E-3</v>
      </c>
      <c r="G22">
        <f>Rohdaten!G42-Rohdaten!G23</f>
        <v>-1.0999999999999982E-2</v>
      </c>
      <c r="H22">
        <f>Rohdaten!H42-Rohdaten!H23</f>
        <v>-6.0000000000000053E-3</v>
      </c>
      <c r="I22">
        <f>Rohdaten!I42-Rohdaten!I23</f>
        <v>-7.0000000000000062E-3</v>
      </c>
      <c r="J22">
        <f>Rohdaten!J42-Rohdaten!J23</f>
        <v>-9.999999999999995E-3</v>
      </c>
      <c r="K22">
        <f>Rohdaten!K42-Rohdaten!K23</f>
        <v>2.6000000000000023E-2</v>
      </c>
      <c r="L22">
        <f>Rohdaten!L42-Rohdaten!L23</f>
        <v>-7.9999999999999932E-3</v>
      </c>
      <c r="M22">
        <f>Rohdaten!M42-Rohdaten!M23</f>
        <v>-1.8999999999999989E-2</v>
      </c>
      <c r="O22">
        <f>Rohdaten!P42-Rohdaten!P23</f>
        <v>-1.0999999999999996E-2</v>
      </c>
      <c r="P22">
        <f>Rohdaten!Q42-Rohdaten!Q23</f>
        <v>-9.999999999999995E-3</v>
      </c>
      <c r="Q22">
        <f>Rohdaten!R42-Rohdaten!R23</f>
        <v>-9.999999999999995E-3</v>
      </c>
      <c r="R22">
        <f>Rohdaten!S42-Rohdaten!S23</f>
        <v>-1.0000000000000009E-2</v>
      </c>
      <c r="S22">
        <f>Rohdaten!T42-Rohdaten!T23</f>
        <v>-9.999999999999995E-3</v>
      </c>
      <c r="T22">
        <f>Rohdaten!U42-Rohdaten!U23</f>
        <v>-9.9999999999999811E-3</v>
      </c>
      <c r="U22">
        <f>Rohdaten!V42-Rohdaten!V23</f>
        <v>-8.9999999999999941E-3</v>
      </c>
      <c r="V22">
        <f>Rohdaten!W42-Rohdaten!W23</f>
        <v>-8.0000000000000071E-3</v>
      </c>
      <c r="W22">
        <f>Rohdaten!X42-Rohdaten!X23</f>
        <v>-1.100000000000001E-2</v>
      </c>
      <c r="X22">
        <f>Rohdaten!Y42-Rohdaten!Y23</f>
        <v>3.7999999999999978E-2</v>
      </c>
      <c r="Y22">
        <f>Rohdaten!Z42-Rohdaten!Z23</f>
        <v>-7.9999999999999932E-3</v>
      </c>
      <c r="Z22">
        <f>Rohdaten!AA42-Rohdaten!AA23</f>
        <v>-1.8999999999999989E-2</v>
      </c>
      <c r="AB22">
        <f>Rohdaten!AD42-Rohdaten!AD23</f>
        <v>-9.999999999999995E-3</v>
      </c>
      <c r="AC22">
        <f>Rohdaten!AE42-Rohdaten!AE23</f>
        <v>-1.0999999999999996E-2</v>
      </c>
      <c r="AD22">
        <f>Rohdaten!AF42-Rohdaten!AF23</f>
        <v>-1.0999999999999996E-2</v>
      </c>
      <c r="AE22">
        <f>Rohdaten!AG42-Rohdaten!AG23</f>
        <v>7.0000000000000062E-3</v>
      </c>
      <c r="AF22">
        <f>Rohdaten!AH42-Rohdaten!AH23</f>
        <v>-9.999999999999995E-3</v>
      </c>
      <c r="AG22">
        <f>Rohdaten!AI42-Rohdaten!AI23</f>
        <v>-1.1999999999999983E-2</v>
      </c>
      <c r="AH22">
        <f>Rohdaten!AJ42-Rohdaten!AJ23</f>
        <v>-8.0000000000000071E-3</v>
      </c>
      <c r="AI22">
        <f>Rohdaten!AK42-Rohdaten!AK23</f>
        <v>1.1999999999999997E-2</v>
      </c>
      <c r="AJ22">
        <f>Rohdaten!AL42-Rohdaten!AL23</f>
        <v>0</v>
      </c>
      <c r="AK22">
        <f>Rohdaten!AM42-Rohdaten!AM23</f>
        <v>4.2999999999999983E-2</v>
      </c>
      <c r="AL22">
        <f>Rohdaten!AN42-Rohdaten!AN23</f>
        <v>-9.999999999999995E-3</v>
      </c>
      <c r="AM22">
        <f>Rohdaten!AO42-Rohdaten!AO23</f>
        <v>-1.6999999999999987E-2</v>
      </c>
      <c r="AO22">
        <f>_xlfn.STDEV.P(AB21+O21+B21)</f>
        <v>0</v>
      </c>
    </row>
    <row r="23" spans="1:41">
      <c r="B23">
        <f>Rohdaten!B43-Rohdaten!B24</f>
        <v>-1.0000000000000009E-2</v>
      </c>
      <c r="C23">
        <f>Rohdaten!C43-Rohdaten!C24</f>
        <v>-6.0000000000000053E-3</v>
      </c>
      <c r="D23">
        <f>Rohdaten!D43-Rohdaten!D24</f>
        <v>1.5000000000000013E-2</v>
      </c>
      <c r="E23">
        <f>Rohdaten!E43-Rohdaten!E24</f>
        <v>4.6999999999999986E-2</v>
      </c>
      <c r="F23">
        <f>Rohdaten!F43-Rohdaten!F24</f>
        <v>3.0999999999999972E-2</v>
      </c>
      <c r="G23">
        <f>Rohdaten!G43-Rohdaten!G24</f>
        <v>0.22299999999999998</v>
      </c>
      <c r="H23">
        <f>Rohdaten!H43-Rohdaten!H24</f>
        <v>0.12</v>
      </c>
      <c r="I23">
        <f>Rohdaten!I43-Rohdaten!I24</f>
        <v>-6.9999999999999785E-3</v>
      </c>
      <c r="J23">
        <f>Rohdaten!J43-Rohdaten!J24</f>
        <v>3.2000000000000028E-2</v>
      </c>
      <c r="K23">
        <f>Rohdaten!K43-Rohdaten!K24</f>
        <v>0.25699999999999995</v>
      </c>
      <c r="L23">
        <f>Rohdaten!L43-Rohdaten!L24</f>
        <v>4.9999999999999767E-3</v>
      </c>
      <c r="M23">
        <f>Rohdaten!M43-Rohdaten!M24</f>
        <v>-1.0000000000000009E-3</v>
      </c>
      <c r="O23">
        <f>Rohdaten!P43-Rohdaten!P24</f>
        <v>-9.000000000000008E-3</v>
      </c>
      <c r="P23">
        <f>Rohdaten!Q43-Rohdaten!Q24</f>
        <v>-4.0000000000000036E-3</v>
      </c>
      <c r="Q23">
        <f>Rohdaten!R43-Rohdaten!R24</f>
        <v>1.6999999999999987E-2</v>
      </c>
      <c r="R23">
        <f>Rohdaten!S43-Rohdaten!S24</f>
        <v>3.2999999999999974E-2</v>
      </c>
      <c r="S23">
        <f>Rohdaten!T43-Rohdaten!T24</f>
        <v>2.8000000000000025E-2</v>
      </c>
      <c r="T23">
        <f>Rohdaten!U43-Rohdaten!U24</f>
        <v>0.19</v>
      </c>
      <c r="U23">
        <f>Rohdaten!V43-Rohdaten!V24</f>
        <v>0.15899999999999997</v>
      </c>
      <c r="V23">
        <f>Rohdaten!W43-Rohdaten!W24</f>
        <v>-7.0000000000000062E-3</v>
      </c>
      <c r="W23">
        <f>Rohdaten!X43-Rohdaten!X24</f>
        <v>2.9999999999999971E-2</v>
      </c>
      <c r="X23">
        <f>Rohdaten!Y43-Rohdaten!Y24</f>
        <v>0.19900000000000001</v>
      </c>
      <c r="Y23">
        <f>Rohdaten!Z43-Rohdaten!Z24</f>
        <v>8.3999999999999991E-2</v>
      </c>
      <c r="Z23">
        <f>Rohdaten!AA43-Rohdaten!AA24</f>
        <v>-3.0000000000000027E-3</v>
      </c>
      <c r="AB23">
        <f>Rohdaten!AD43-Rohdaten!AD24</f>
        <v>-1.0000000000000009E-2</v>
      </c>
      <c r="AC23">
        <f>Rohdaten!AE43-Rohdaten!AE24</f>
        <v>-6.0000000000000053E-3</v>
      </c>
      <c r="AD23">
        <f>Rohdaten!AF43-Rohdaten!AF24</f>
        <v>1.0000000000000009E-2</v>
      </c>
      <c r="AE23">
        <f>Rohdaten!AG43-Rohdaten!AG24</f>
        <v>3.7999999999999978E-2</v>
      </c>
      <c r="AF23">
        <f>Rohdaten!AH43-Rohdaten!AH24</f>
        <v>2.0999999999999963E-2</v>
      </c>
      <c r="AG23">
        <f>Rohdaten!AI43-Rohdaten!AI24</f>
        <v>0.184</v>
      </c>
      <c r="AH23">
        <f>Rohdaten!AJ43-Rohdaten!AJ24</f>
        <v>0.13100000000000001</v>
      </c>
      <c r="AI23">
        <f>Rohdaten!AK43-Rohdaten!AK24</f>
        <v>0.03</v>
      </c>
      <c r="AJ23">
        <f>Rohdaten!AL43-Rohdaten!AL24</f>
        <v>2.1000000000000019E-2</v>
      </c>
      <c r="AK23">
        <f>Rohdaten!AM43-Rohdaten!AM24</f>
        <v>0.20999999999999996</v>
      </c>
      <c r="AL23">
        <f>Rohdaten!AN43-Rohdaten!AN24</f>
        <v>3.0000000000000027E-3</v>
      </c>
      <c r="AM23">
        <f>Rohdaten!AO43-Rohdaten!AO24</f>
        <v>-3.0000000000000027E-3</v>
      </c>
    </row>
    <row r="24" spans="1:41">
      <c r="B24">
        <f>Rohdaten!B44-Rohdaten!B25</f>
        <v>-9.999999999999995E-3</v>
      </c>
      <c r="C24">
        <f>Rohdaten!C44-Rohdaten!C25</f>
        <v>-6.9999999999999923E-3</v>
      </c>
      <c r="D24">
        <f>Rohdaten!D44-Rohdaten!D25</f>
        <v>4.0000000000000036E-3</v>
      </c>
      <c r="E24">
        <f>Rohdaten!E44-Rohdaten!E25</f>
        <v>1.4999999999999986E-2</v>
      </c>
      <c r="F24">
        <f>Rohdaten!F44-Rohdaten!F25</f>
        <v>2.0000000000000018E-3</v>
      </c>
      <c r="G24">
        <f>Rohdaten!G44-Rohdaten!G25</f>
        <v>6.7999999999999977E-2</v>
      </c>
      <c r="H24">
        <f>Rohdaten!H44-Rohdaten!H25</f>
        <v>6.0999999999999999E-2</v>
      </c>
      <c r="I24">
        <f>Rohdaten!I44-Rohdaten!I25</f>
        <v>-7.0000000000000062E-3</v>
      </c>
      <c r="J24">
        <f>Rohdaten!J44-Rohdaten!J25</f>
        <v>0</v>
      </c>
      <c r="K24">
        <f>Rohdaten!K44-Rohdaten!K25</f>
        <v>0.13400000000000001</v>
      </c>
      <c r="L24">
        <f>Rohdaten!L44-Rohdaten!L25</f>
        <v>1.0000000000000009E-3</v>
      </c>
      <c r="M24">
        <f>Rohdaten!M44-Rohdaten!M25</f>
        <v>-5.0000000000000044E-3</v>
      </c>
      <c r="O24">
        <f>Rohdaten!P44-Rohdaten!P25</f>
        <v>-8.9999999999999941E-3</v>
      </c>
      <c r="P24">
        <f>Rohdaten!Q44-Rohdaten!Q25</f>
        <v>-3.0000000000000027E-3</v>
      </c>
      <c r="Q24">
        <f>Rohdaten!R44-Rohdaten!R25</f>
        <v>4.0000000000000036E-3</v>
      </c>
      <c r="R24">
        <f>Rohdaten!S44-Rohdaten!S25</f>
        <v>2.0999999999999991E-2</v>
      </c>
      <c r="S24">
        <f>Rohdaten!T44-Rohdaten!T25</f>
        <v>1.0000000000000009E-3</v>
      </c>
      <c r="T24">
        <f>Rohdaten!U44-Rohdaten!U25</f>
        <v>6.0999999999999999E-2</v>
      </c>
      <c r="U24">
        <f>Rohdaten!V44-Rohdaten!V25</f>
        <v>7.4999999999999983E-2</v>
      </c>
      <c r="V24">
        <f>Rohdaten!W44-Rohdaten!W25</f>
        <v>-1.0000000000000009E-2</v>
      </c>
      <c r="W24">
        <f>Rohdaten!X44-Rohdaten!X25</f>
        <v>-2.0000000000000018E-3</v>
      </c>
      <c r="X24">
        <f>Rohdaten!Y44-Rohdaten!Y25</f>
        <v>0.1</v>
      </c>
      <c r="Y24">
        <f>Rohdaten!Z44-Rohdaten!Z25</f>
        <v>1.5000000000000013E-2</v>
      </c>
      <c r="Z24">
        <f>Rohdaten!AA44-Rohdaten!AA25</f>
        <v>-4.0000000000000036E-3</v>
      </c>
      <c r="AB24">
        <f>Rohdaten!AD44-Rohdaten!AD25</f>
        <v>-9.999999999999995E-3</v>
      </c>
      <c r="AC24">
        <f>Rohdaten!AE44-Rohdaten!AE25</f>
        <v>-6.9999999999999923E-3</v>
      </c>
      <c r="AD24">
        <f>Rohdaten!AF44-Rohdaten!AF25</f>
        <v>2.0000000000000018E-3</v>
      </c>
      <c r="AE24">
        <f>Rohdaten!AG44-Rohdaten!AG25</f>
        <v>2.3999999999999994E-2</v>
      </c>
      <c r="AF24">
        <f>Rohdaten!AH44-Rohdaten!AH25</f>
        <v>-2.0000000000000018E-3</v>
      </c>
      <c r="AG24">
        <f>Rohdaten!AI44-Rohdaten!AI25</f>
        <v>4.300000000000001E-2</v>
      </c>
      <c r="AH24">
        <f>Rohdaten!AJ44-Rohdaten!AJ25</f>
        <v>7.0000000000000007E-2</v>
      </c>
      <c r="AI24">
        <f>Rohdaten!AK44-Rohdaten!AK25</f>
        <v>0</v>
      </c>
      <c r="AJ24">
        <f>Rohdaten!AL44-Rohdaten!AL25</f>
        <v>-4.0000000000000036E-3</v>
      </c>
      <c r="AK24">
        <f>Rohdaten!AM44-Rohdaten!AM25</f>
        <v>0.10999999999999999</v>
      </c>
      <c r="AL24">
        <f>Rohdaten!AN44-Rohdaten!AN25</f>
        <v>0</v>
      </c>
      <c r="AM24">
        <f>Rohdaten!AO44-Rohdaten!AO25</f>
        <v>-5.0000000000000044E-3</v>
      </c>
    </row>
    <row r="25" spans="1:41">
      <c r="B25">
        <f>Rohdaten!B45-Rohdaten!B26</f>
        <v>-2.0000000000000018E-3</v>
      </c>
      <c r="C25">
        <f>Rohdaten!C45-Rohdaten!C26</f>
        <v>-4.0000000000000036E-3</v>
      </c>
      <c r="D25">
        <f>Rohdaten!D45-Rohdaten!D26</f>
        <v>-7.0000000000000062E-3</v>
      </c>
      <c r="E25">
        <f>Rohdaten!E45-Rohdaten!E26</f>
        <v>0.23099999999999998</v>
      </c>
      <c r="F25">
        <f>Rohdaten!F45-Rohdaten!F26</f>
        <v>4.0999999999999981E-2</v>
      </c>
      <c r="G25">
        <f>Rohdaten!G45-Rohdaten!G26</f>
        <v>1.3000000000000012E-2</v>
      </c>
      <c r="H25">
        <f>Rohdaten!H45-Rohdaten!H26</f>
        <v>-7.9999999999999793E-3</v>
      </c>
      <c r="I25">
        <f>Rohdaten!I45-Rohdaten!I26</f>
        <v>5.3999999999999992E-2</v>
      </c>
      <c r="J25">
        <f>Rohdaten!J45-Rohdaten!J26</f>
        <v>-6.9999999999999785E-3</v>
      </c>
      <c r="K25">
        <f>Rohdaten!K45-Rohdaten!K26</f>
        <v>9.9999999999999811E-3</v>
      </c>
      <c r="L25">
        <f>Rohdaten!L45-Rohdaten!L26</f>
        <v>-6.0000000000000053E-3</v>
      </c>
      <c r="M25">
        <f>Rohdaten!M45-Rohdaten!M26</f>
        <v>0.23699999999999999</v>
      </c>
      <c r="O25">
        <f>Rohdaten!P45-Rohdaten!P26</f>
        <v>-2.0000000000000018E-3</v>
      </c>
      <c r="P25">
        <f>Rohdaten!Q45-Rohdaten!Q26</f>
        <v>-3.0000000000000027E-3</v>
      </c>
      <c r="Q25">
        <f>Rohdaten!R45-Rohdaten!R26</f>
        <v>2.0999999999999991E-2</v>
      </c>
      <c r="R25">
        <f>Rohdaten!S45-Rohdaten!S26</f>
        <v>0.28300000000000003</v>
      </c>
      <c r="S25">
        <f>Rohdaten!T45-Rohdaten!T26</f>
        <v>6.3000000000000028E-2</v>
      </c>
      <c r="T25">
        <f>Rohdaten!U45-Rohdaten!U26</f>
        <v>-1.0999999999999982E-2</v>
      </c>
      <c r="U25">
        <f>Rohdaten!V45-Rohdaten!V26</f>
        <v>-7.9999999999999793E-3</v>
      </c>
      <c r="V25">
        <f>Rohdaten!W45-Rohdaten!W26</f>
        <v>5.6999999999999995E-2</v>
      </c>
      <c r="W25">
        <f>Rohdaten!X45-Rohdaten!X26</f>
        <v>-6.9999999999999785E-3</v>
      </c>
      <c r="X25">
        <f>Rohdaten!Y45-Rohdaten!Y26</f>
        <v>-6.0000000000000053E-3</v>
      </c>
      <c r="Y25">
        <f>Rohdaten!Z45-Rohdaten!Z26</f>
        <v>-5.9999999999999776E-3</v>
      </c>
      <c r="Z25">
        <f>Rohdaten!AA45-Rohdaten!AA26</f>
        <v>0.24</v>
      </c>
      <c r="AB25">
        <f>Rohdaten!AD45-Rohdaten!AD26</f>
        <v>-2.0000000000000018E-3</v>
      </c>
      <c r="AC25">
        <f>Rohdaten!AE45-Rohdaten!AE26</f>
        <v>-5.0000000000000044E-3</v>
      </c>
      <c r="AD25">
        <f>Rohdaten!AF45-Rohdaten!AF26</f>
        <v>-7.0000000000000062E-3</v>
      </c>
      <c r="AE25">
        <f>Rohdaten!AG45-Rohdaten!AG26</f>
        <v>0.21699999999999997</v>
      </c>
      <c r="AF25">
        <f>Rohdaten!AH45-Rohdaten!AH26</f>
        <v>0.17800000000000002</v>
      </c>
      <c r="AG25">
        <f>Rohdaten!AI45-Rohdaten!AI26</f>
        <v>-1.100000000000001E-2</v>
      </c>
      <c r="AH25">
        <f>Rohdaten!AJ45-Rohdaten!AJ26</f>
        <v>-8.9999999999999802E-3</v>
      </c>
      <c r="AI25">
        <f>Rohdaten!AK45-Rohdaten!AK26</f>
        <v>3.4000000000000002E-2</v>
      </c>
      <c r="AJ25">
        <f>Rohdaten!AL45-Rohdaten!AL26</f>
        <v>-1.0999999999999982E-2</v>
      </c>
      <c r="AK25">
        <f>Rohdaten!AM45-Rohdaten!AM26</f>
        <v>1.7999999999999988E-2</v>
      </c>
      <c r="AL25">
        <f>Rohdaten!AN45-Rohdaten!AN26</f>
        <v>-6.0000000000000053E-3</v>
      </c>
      <c r="AM25">
        <f>Rohdaten!AO45-Rohdaten!AO26</f>
        <v>0.28500000000000003</v>
      </c>
    </row>
    <row r="26" spans="1:41">
      <c r="B26">
        <f>Rohdaten!B46-Rohdaten!B27</f>
        <v>-7.9999999999999932E-3</v>
      </c>
      <c r="C26">
        <f>Rohdaten!C46-Rohdaten!C27</f>
        <v>-4.9999999999999906E-3</v>
      </c>
      <c r="D26">
        <f>Rohdaten!D46-Rohdaten!D27</f>
        <v>-6.9999999999999923E-3</v>
      </c>
      <c r="E26">
        <f>Rohdaten!E46-Rohdaten!E27</f>
        <v>0.11000000000000001</v>
      </c>
      <c r="F26">
        <f>Rohdaten!F46-Rohdaten!F27</f>
        <v>1.9000000000000017E-2</v>
      </c>
      <c r="G26">
        <f>Rohdaten!G46-Rohdaten!G27</f>
        <v>-1.0000000000000009E-3</v>
      </c>
      <c r="H26">
        <f>Rohdaten!H46-Rohdaten!H27</f>
        <v>-8.0000000000000071E-3</v>
      </c>
      <c r="I26">
        <f>Rohdaten!I46-Rohdaten!I27</f>
        <v>-2.0000000000000018E-3</v>
      </c>
      <c r="J26">
        <f>Rohdaten!J46-Rohdaten!J27</f>
        <v>-6.0000000000000053E-3</v>
      </c>
      <c r="K26">
        <f>Rohdaten!K46-Rohdaten!K27</f>
        <v>0</v>
      </c>
      <c r="L26">
        <f>Rohdaten!L46-Rohdaten!L27</f>
        <v>-6.9999999999999923E-3</v>
      </c>
      <c r="M26">
        <f>Rohdaten!M46-Rohdaten!M27</f>
        <v>0.13800000000000001</v>
      </c>
      <c r="O26">
        <f>Rohdaten!P46-Rohdaten!P27</f>
        <v>-7.9999999999999932E-3</v>
      </c>
      <c r="P26">
        <f>Rohdaten!Q46-Rohdaten!Q27</f>
        <v>-5.0000000000000044E-3</v>
      </c>
      <c r="Q26">
        <f>Rohdaten!R46-Rohdaten!R27</f>
        <v>3.0000000000000027E-3</v>
      </c>
      <c r="R26">
        <f>Rohdaten!S46-Rohdaten!S27</f>
        <v>9.1999999999999998E-2</v>
      </c>
      <c r="S26">
        <f>Rohdaten!T46-Rohdaten!T27</f>
        <v>3.2000000000000001E-2</v>
      </c>
      <c r="T26">
        <f>Rohdaten!U46-Rohdaten!U27</f>
        <v>-1.100000000000001E-2</v>
      </c>
      <c r="U26">
        <f>Rohdaten!V46-Rohdaten!V27</f>
        <v>-9.000000000000008E-3</v>
      </c>
      <c r="V26">
        <f>Rohdaten!W46-Rohdaten!W27</f>
        <v>0</v>
      </c>
      <c r="W26">
        <f>Rohdaten!X46-Rohdaten!X27</f>
        <v>-7.0000000000000062E-3</v>
      </c>
      <c r="X26">
        <f>Rohdaten!Y46-Rohdaten!Y27</f>
        <v>-5.9999999999999915E-3</v>
      </c>
      <c r="Y26">
        <f>Rohdaten!Z46-Rohdaten!Z27</f>
        <v>-7.0000000000000062E-3</v>
      </c>
      <c r="Z26">
        <f>Rohdaten!AA46-Rohdaten!AA27</f>
        <v>0.13599999999999995</v>
      </c>
      <c r="AB26">
        <f>Rohdaten!AD46-Rohdaten!AD27</f>
        <v>-8.0000000000000071E-3</v>
      </c>
      <c r="AC26">
        <f>Rohdaten!AE46-Rohdaten!AE27</f>
        <v>-6.0000000000000053E-3</v>
      </c>
      <c r="AD26">
        <f>Rohdaten!AF46-Rohdaten!AF27</f>
        <v>-7.9999999999999932E-3</v>
      </c>
      <c r="AE26">
        <f>Rohdaten!AG46-Rohdaten!AG27</f>
        <v>9.8000000000000032E-2</v>
      </c>
      <c r="AF26">
        <f>Rohdaten!AH46-Rohdaten!AH27</f>
        <v>0.11000000000000001</v>
      </c>
      <c r="AG26">
        <f>Rohdaten!AI46-Rohdaten!AI27</f>
        <v>-1.0999999999999996E-2</v>
      </c>
      <c r="AH26">
        <f>Rohdaten!AJ46-Rohdaten!AJ27</f>
        <v>-9.000000000000008E-3</v>
      </c>
      <c r="AI26">
        <f>Rohdaten!AK46-Rohdaten!AK27</f>
        <v>0</v>
      </c>
      <c r="AJ26">
        <f>Rohdaten!AL46-Rohdaten!AL27</f>
        <v>-9.999999999999995E-3</v>
      </c>
      <c r="AK26">
        <f>Rohdaten!AM46-Rohdaten!AM27</f>
        <v>1.0000000000000009E-3</v>
      </c>
      <c r="AL26">
        <f>Rohdaten!AN46-Rohdaten!AN27</f>
        <v>-6.9999999999999923E-3</v>
      </c>
      <c r="AM26">
        <f>Rohdaten!AO46-Rohdaten!AO27</f>
        <v>0.17299999999999999</v>
      </c>
    </row>
    <row r="27" spans="1:41">
      <c r="B27">
        <f>Rohdaten!B47-Rohdaten!B28</f>
        <v>7.4999999999999983E-2</v>
      </c>
      <c r="C27">
        <f>Rohdaten!C47-Rohdaten!C28</f>
        <v>-4.0000000000000036E-3</v>
      </c>
      <c r="D27">
        <f>Rohdaten!D47-Rohdaten!D28</f>
        <v>-6.0000000000000053E-3</v>
      </c>
      <c r="E27">
        <f>Rohdaten!E47-Rohdaten!E28</f>
        <v>-2.0000000000000018E-3</v>
      </c>
      <c r="F27">
        <f>Rohdaten!F47-Rohdaten!F28</f>
        <v>-7.0000000000000062E-3</v>
      </c>
      <c r="G27">
        <f>Rohdaten!G47-Rohdaten!G28</f>
        <v>2.300000000000002E-2</v>
      </c>
      <c r="H27">
        <f>Rohdaten!H47-Rohdaten!H28</f>
        <v>0.14799999999999996</v>
      </c>
      <c r="I27">
        <f>Rohdaten!I47-Rohdaten!I28</f>
        <v>0.27099999999999996</v>
      </c>
      <c r="J27">
        <f>Rohdaten!J47-Rohdaten!J28</f>
        <v>-7.0000000000000062E-3</v>
      </c>
      <c r="K27">
        <f>Rohdaten!K47-Rohdaten!K28</f>
        <v>0.75099999999999989</v>
      </c>
      <c r="L27">
        <f>Rohdaten!L47-Rohdaten!L28</f>
        <v>-7.0000000000000062E-3</v>
      </c>
      <c r="M27">
        <f>Rohdaten!M47-Rohdaten!M28</f>
        <v>-1.100000000000001E-2</v>
      </c>
      <c r="O27">
        <f>Rohdaten!P47-Rohdaten!P28</f>
        <v>-1.1999999999999983E-2</v>
      </c>
      <c r="P27">
        <f>Rohdaten!Q47-Rohdaten!Q28</f>
        <v>-5.0000000000000044E-3</v>
      </c>
      <c r="Q27">
        <f>Rohdaten!R47-Rohdaten!R28</f>
        <v>0</v>
      </c>
      <c r="R27">
        <f>Rohdaten!S47-Rohdaten!S28</f>
        <v>-2.0000000000000018E-3</v>
      </c>
      <c r="S27">
        <f>Rohdaten!T47-Rohdaten!T28</f>
        <v>2.2999999999999993E-2</v>
      </c>
      <c r="T27">
        <f>Rohdaten!U47-Rohdaten!U28</f>
        <v>2.1999999999999964E-2</v>
      </c>
      <c r="U27">
        <f>Rohdaten!V47-Rohdaten!V28</f>
        <v>0.21900000000000003</v>
      </c>
      <c r="V27">
        <f>Rohdaten!W47-Rohdaten!W28</f>
        <v>0.24400000000000005</v>
      </c>
      <c r="W27">
        <f>Rohdaten!X47-Rohdaten!X28</f>
        <v>-7.0000000000000062E-3</v>
      </c>
      <c r="X27">
        <f>Rohdaten!Y47-Rohdaten!Y28</f>
        <v>-6.0000000000000053E-3</v>
      </c>
      <c r="Y27">
        <f>Rohdaten!Z47-Rohdaten!Z28</f>
        <v>-6.0000000000000053E-3</v>
      </c>
      <c r="Z27">
        <f>Rohdaten!AA47-Rohdaten!AA28</f>
        <v>-9.000000000000008E-3</v>
      </c>
      <c r="AB27">
        <f>Rohdaten!AD47-Rohdaten!AD28</f>
        <v>-1.2000000000000011E-2</v>
      </c>
      <c r="AC27">
        <f>Rohdaten!AE47-Rohdaten!AE28</f>
        <v>-6.0000000000000053E-3</v>
      </c>
      <c r="AD27">
        <f>Rohdaten!AF47-Rohdaten!AF28</f>
        <v>4.1999999999999982E-2</v>
      </c>
      <c r="AE27">
        <f>Rohdaten!AG47-Rohdaten!AG28</f>
        <v>-4.0000000000000036E-3</v>
      </c>
      <c r="AF27">
        <f>Rohdaten!AH47-Rohdaten!AH28</f>
        <v>-9.9999999999999811E-3</v>
      </c>
      <c r="AG27">
        <f>Rohdaten!AI47-Rohdaten!AI28</f>
        <v>8.2000000000000017E-2</v>
      </c>
      <c r="AH27">
        <f>Rohdaten!AJ47-Rohdaten!AJ28</f>
        <v>0.12599999999999995</v>
      </c>
      <c r="AI27">
        <f>Rohdaten!AK47-Rohdaten!AK28</f>
        <v>0.19600000000000001</v>
      </c>
      <c r="AJ27">
        <f>Rohdaten!AL47-Rohdaten!AL28</f>
        <v>2.7999999999999997E-2</v>
      </c>
      <c r="AK27">
        <f>Rohdaten!AM47-Rohdaten!AM28</f>
        <v>-5.0000000000000044E-3</v>
      </c>
      <c r="AL27">
        <f>Rohdaten!AN47-Rohdaten!AN28</f>
        <v>-8.0000000000000071E-3</v>
      </c>
      <c r="AM27">
        <f>Rohdaten!AO47-Rohdaten!AO28</f>
        <v>-1.100000000000001E-2</v>
      </c>
    </row>
    <row r="28" spans="1:41">
      <c r="B28">
        <f>Rohdaten!B48-Rohdaten!B29</f>
        <v>1.999999999999999E-2</v>
      </c>
      <c r="C28">
        <f>Rohdaten!C48-Rohdaten!C29</f>
        <v>-3.0000000000000027E-3</v>
      </c>
      <c r="D28">
        <f>Rohdaten!D48-Rohdaten!D29</f>
        <v>-6.0000000000000053E-3</v>
      </c>
      <c r="E28">
        <f>Rohdaten!E48-Rohdaten!E29</f>
        <v>-7.0000000000000062E-3</v>
      </c>
      <c r="F28">
        <f>Rohdaten!F48-Rohdaten!F29</f>
        <v>-7.0000000000000062E-3</v>
      </c>
      <c r="G28">
        <f>Rohdaten!G48-Rohdaten!G29</f>
        <v>5.0000000000000044E-3</v>
      </c>
      <c r="H28">
        <f>Rohdaten!H48-Rohdaten!H29</f>
        <v>5.5999999999999994E-2</v>
      </c>
      <c r="I28">
        <f>Rohdaten!I48-Rohdaten!I29</f>
        <v>7.7999999999999986E-2</v>
      </c>
      <c r="J28">
        <f>Rohdaten!J48-Rohdaten!J29</f>
        <v>-6.0000000000000053E-3</v>
      </c>
      <c r="K28">
        <f>Rohdaten!K48-Rohdaten!K29</f>
        <v>0.188</v>
      </c>
      <c r="L28">
        <f>Rohdaten!L48-Rohdaten!L29</f>
        <v>-6.0000000000000053E-3</v>
      </c>
      <c r="M28">
        <f>Rohdaten!M48-Rohdaten!M29</f>
        <v>-9.999999999999995E-3</v>
      </c>
      <c r="O28">
        <f>Rohdaten!P48-Rohdaten!P29</f>
        <v>-1.1999999999999997E-2</v>
      </c>
      <c r="P28">
        <f>Rohdaten!Q48-Rohdaten!Q29</f>
        <v>-7.0000000000000062E-3</v>
      </c>
      <c r="Q28">
        <f>Rohdaten!R48-Rohdaten!R29</f>
        <v>-4.9999999999999906E-3</v>
      </c>
      <c r="R28">
        <f>Rohdaten!S48-Rohdaten!S29</f>
        <v>-8.9999999999999941E-3</v>
      </c>
      <c r="S28">
        <f>Rohdaten!T48-Rohdaten!T29</f>
        <v>5.0000000000000044E-3</v>
      </c>
      <c r="T28">
        <f>Rohdaten!U48-Rohdaten!U29</f>
        <v>3.0000000000000027E-3</v>
      </c>
      <c r="U28">
        <f>Rohdaten!V48-Rohdaten!V29</f>
        <v>7.8000000000000014E-2</v>
      </c>
      <c r="V28">
        <f>Rohdaten!W48-Rohdaten!W29</f>
        <v>0.11500000000000002</v>
      </c>
      <c r="W28">
        <f>Rohdaten!X48-Rohdaten!X29</f>
        <v>-7.9999999999999932E-3</v>
      </c>
      <c r="X28">
        <f>Rohdaten!Y48-Rohdaten!Y29</f>
        <v>-7.0000000000000062E-3</v>
      </c>
      <c r="Y28">
        <f>Rohdaten!Z48-Rohdaten!Z29</f>
        <v>-6.0000000000000053E-3</v>
      </c>
      <c r="Z28">
        <f>Rohdaten!AA48-Rohdaten!AA29</f>
        <v>-1.0000000000000009E-2</v>
      </c>
      <c r="AB28">
        <f>Rohdaten!AD48-Rohdaten!AD29</f>
        <v>-1.1999999999999997E-2</v>
      </c>
      <c r="AC28">
        <f>Rohdaten!AE48-Rohdaten!AE29</f>
        <v>-7.0000000000000062E-3</v>
      </c>
      <c r="AD28">
        <f>Rohdaten!AF48-Rohdaten!AF29</f>
        <v>1.3000000000000012E-2</v>
      </c>
      <c r="AE28">
        <f>Rohdaten!AG48-Rohdaten!AG29</f>
        <v>-8.9999999999999941E-3</v>
      </c>
      <c r="AF28">
        <f>Rohdaten!AH48-Rohdaten!AH29</f>
        <v>-8.9999999999999941E-3</v>
      </c>
      <c r="AG28">
        <f>Rohdaten!AI48-Rohdaten!AI29</f>
        <v>2.0000000000000018E-3</v>
      </c>
      <c r="AH28">
        <f>Rohdaten!AJ48-Rohdaten!AJ29</f>
        <v>2.9000000000000026E-2</v>
      </c>
      <c r="AI28">
        <f>Rohdaten!AK48-Rohdaten!AK29</f>
        <v>8.0999999999999989E-2</v>
      </c>
      <c r="AJ28">
        <f>Rohdaten!AL48-Rohdaten!AL29</f>
        <v>2.1000000000000005E-2</v>
      </c>
      <c r="AK28">
        <f>Rohdaten!AM48-Rohdaten!AM29</f>
        <v>-5.9999999999999915E-3</v>
      </c>
      <c r="AL28">
        <f>Rohdaten!AN48-Rohdaten!AN29</f>
        <v>-7.0000000000000062E-3</v>
      </c>
      <c r="AM28">
        <f>Rohdaten!AO48-Rohdaten!AO29</f>
        <v>-1.0000000000000009E-2</v>
      </c>
    </row>
    <row r="29" spans="1:41">
      <c r="B29">
        <f>Rohdaten!B49-Rohdaten!B30</f>
        <v>5.0000000000000044E-3</v>
      </c>
      <c r="C29">
        <f>Rohdaten!C49-Rohdaten!C30</f>
        <v>-3.0000000000000027E-3</v>
      </c>
      <c r="D29">
        <f>Rohdaten!D49-Rohdaten!D30</f>
        <v>-5.0000000000000044E-3</v>
      </c>
      <c r="E29">
        <f>Rohdaten!E49-Rohdaten!E30</f>
        <v>4.7000000000000042E-2</v>
      </c>
      <c r="F29">
        <f>Rohdaten!F49-Rohdaten!F30</f>
        <v>1.5999999999999959E-2</v>
      </c>
      <c r="G29">
        <f>Rohdaten!G49-Rohdaten!G30</f>
        <v>-6.0000000000000053E-3</v>
      </c>
      <c r="H29">
        <f>Rohdaten!H49-Rohdaten!H30</f>
        <v>-7.0000000000000062E-3</v>
      </c>
      <c r="I29">
        <f>Rohdaten!I49-Rohdaten!I30</f>
        <v>-3.0000000000000027E-3</v>
      </c>
      <c r="J29">
        <f>Rohdaten!J49-Rohdaten!J30</f>
        <v>0.19399999999999998</v>
      </c>
      <c r="K29">
        <f>Rohdaten!K49-Rohdaten!K30</f>
        <v>-5.0000000000000044E-3</v>
      </c>
      <c r="L29">
        <f>Rohdaten!L49-Rohdaten!L30</f>
        <v>-5.0000000000000044E-3</v>
      </c>
      <c r="M29">
        <f>Rohdaten!M49-Rohdaten!M30</f>
        <v>0.06</v>
      </c>
      <c r="O29">
        <f>Rohdaten!P49-Rohdaten!P30</f>
        <v>0</v>
      </c>
      <c r="P29">
        <f>Rohdaten!Q49-Rohdaten!Q30</f>
        <v>-1.0000000000000009E-3</v>
      </c>
      <c r="Q29">
        <f>Rohdaten!R49-Rohdaten!R30</f>
        <v>-6.0000000000000053E-3</v>
      </c>
      <c r="R29">
        <f>Rohdaten!S49-Rohdaten!S30</f>
        <v>7.9999999999999516E-3</v>
      </c>
      <c r="S29">
        <f>Rohdaten!T49-Rohdaten!T30</f>
        <v>1.5000000000000013E-2</v>
      </c>
      <c r="T29">
        <f>Rohdaten!U49-Rohdaten!U30</f>
        <v>-6.0000000000000053E-3</v>
      </c>
      <c r="U29">
        <f>Rohdaten!V49-Rohdaten!V30</f>
        <v>-5.9999999999999776E-3</v>
      </c>
      <c r="V29">
        <f>Rohdaten!W49-Rohdaten!W30</f>
        <v>-8.9999999999999802E-3</v>
      </c>
      <c r="W29">
        <f>Rohdaten!X49-Rohdaten!X30</f>
        <v>0.10300000000000001</v>
      </c>
      <c r="X29">
        <f>Rohdaten!Y49-Rohdaten!Y30</f>
        <v>-1.2999999999999984E-2</v>
      </c>
      <c r="Y29">
        <f>Rohdaten!Z49-Rohdaten!Z30</f>
        <v>3.7000000000000005E-2</v>
      </c>
      <c r="Z29">
        <f>Rohdaten!AA49-Rohdaten!AA30</f>
        <v>6.2E-2</v>
      </c>
      <c r="AB29">
        <f>Rohdaten!AD49-Rohdaten!AD30</f>
        <v>2.0000000000000018E-3</v>
      </c>
      <c r="AC29">
        <f>Rohdaten!AE49-Rohdaten!AE30</f>
        <v>-2.0000000000000018E-3</v>
      </c>
      <c r="AD29">
        <f>Rohdaten!AF49-Rohdaten!AF30</f>
        <v>0.157</v>
      </c>
      <c r="AE29">
        <f>Rohdaten!AG49-Rohdaten!AG30</f>
        <v>4.1999999999999982E-2</v>
      </c>
      <c r="AF29">
        <f>Rohdaten!AH49-Rohdaten!AH30</f>
        <v>1.5999999999999959E-2</v>
      </c>
      <c r="AG29">
        <f>Rohdaten!AI49-Rohdaten!AI30</f>
        <v>-8.0000000000000071E-3</v>
      </c>
      <c r="AH29">
        <f>Rohdaten!AJ49-Rohdaten!AJ30</f>
        <v>-7.9999999999999793E-3</v>
      </c>
      <c r="AI29">
        <f>Rohdaten!AK49-Rohdaten!AK30</f>
        <v>0.36499999999999999</v>
      </c>
      <c r="AJ29">
        <f>Rohdaten!AL49-Rohdaten!AL30</f>
        <v>0.10500000000000001</v>
      </c>
      <c r="AK29">
        <f>Rohdaten!AM49-Rohdaten!AM30</f>
        <v>-5.0000000000000044E-3</v>
      </c>
      <c r="AL29">
        <f>Rohdaten!AN49-Rohdaten!AN30</f>
        <v>-7.0000000000000062E-3</v>
      </c>
      <c r="AM29">
        <f>Rohdaten!AO49-Rohdaten!AO30</f>
        <v>5.7999999999999996E-2</v>
      </c>
    </row>
    <row r="30" spans="1:41">
      <c r="B30">
        <f>Rohdaten!B50-Rohdaten!B31</f>
        <v>3.0000000000000027E-3</v>
      </c>
      <c r="C30">
        <f>Rohdaten!C50-Rohdaten!C31</f>
        <v>-2.0000000000000018E-3</v>
      </c>
      <c r="D30">
        <f>Rohdaten!D50-Rohdaten!D31</f>
        <v>-5.0000000000000044E-3</v>
      </c>
      <c r="E30">
        <f>Rohdaten!E50-Rohdaten!E31</f>
        <v>3.8000000000000006E-2</v>
      </c>
      <c r="F30">
        <f>Rohdaten!F50-Rohdaten!F31</f>
        <v>-2.0000000000000018E-3</v>
      </c>
      <c r="G30">
        <f>Rohdaten!G50-Rohdaten!G31</f>
        <v>-5.9999999999999915E-3</v>
      </c>
      <c r="H30">
        <f>Rohdaten!H50-Rohdaten!H31</f>
        <v>-5.9999999999999915E-3</v>
      </c>
      <c r="I30">
        <f>Rohdaten!I50-Rohdaten!I31</f>
        <v>-6.9999999999999923E-3</v>
      </c>
      <c r="J30">
        <f>Rohdaten!J50-Rohdaten!J31</f>
        <v>5.5000000000000007E-2</v>
      </c>
      <c r="K30">
        <f>Rohdaten!K50-Rohdaten!K31</f>
        <v>-5.0000000000000044E-3</v>
      </c>
      <c r="L30">
        <f>Rohdaten!L50-Rohdaten!L31</f>
        <v>-3.0000000000000027E-3</v>
      </c>
      <c r="M30">
        <f>Rohdaten!M50-Rohdaten!M31</f>
        <v>-4.9999999999999906E-3</v>
      </c>
      <c r="O30">
        <f>Rohdaten!P50-Rohdaten!P31</f>
        <v>0</v>
      </c>
      <c r="P30">
        <f>Rohdaten!Q50-Rohdaten!Q31</f>
        <v>-4.0000000000000036E-3</v>
      </c>
      <c r="Q30">
        <f>Rohdaten!R50-Rohdaten!R31</f>
        <v>-6.9999999999999923E-3</v>
      </c>
      <c r="R30">
        <f>Rohdaten!S50-Rohdaten!S31</f>
        <v>6.0000000000000053E-3</v>
      </c>
      <c r="S30">
        <f>Rohdaten!T50-Rohdaten!T31</f>
        <v>-2.9999999999999888E-3</v>
      </c>
      <c r="T30">
        <f>Rohdaten!U50-Rohdaten!U31</f>
        <v>-6.9999999999999923E-3</v>
      </c>
      <c r="U30">
        <f>Rohdaten!V50-Rohdaten!V31</f>
        <v>-6.9999999999999923E-3</v>
      </c>
      <c r="V30">
        <f>Rohdaten!W50-Rohdaten!W31</f>
        <v>-9.000000000000008E-3</v>
      </c>
      <c r="W30">
        <f>Rohdaten!X50-Rohdaten!X31</f>
        <v>2.3000000000000007E-2</v>
      </c>
      <c r="X30">
        <f>Rohdaten!Y50-Rohdaten!Y31</f>
        <v>-1.6E-2</v>
      </c>
      <c r="Y30">
        <f>Rohdaten!Z50-Rohdaten!Z31</f>
        <v>1.0999999999999996E-2</v>
      </c>
      <c r="Z30">
        <f>Rohdaten!AA50-Rohdaten!AA31</f>
        <v>-4.0000000000000036E-3</v>
      </c>
      <c r="AB30">
        <f>Rohdaten!AD50-Rohdaten!AD31</f>
        <v>2.0000000000000018E-3</v>
      </c>
      <c r="AC30">
        <f>Rohdaten!AE50-Rohdaten!AE31</f>
        <v>-3.0000000000000027E-3</v>
      </c>
      <c r="AD30">
        <f>Rohdaten!AF50-Rohdaten!AF31</f>
        <v>4.2999999999999997E-2</v>
      </c>
      <c r="AE30">
        <f>Rohdaten!AG50-Rohdaten!AG31</f>
        <v>1.7999999999999988E-2</v>
      </c>
      <c r="AF30">
        <f>Rohdaten!AH50-Rohdaten!AH31</f>
        <v>-3.9999999999999897E-3</v>
      </c>
      <c r="AG30">
        <f>Rohdaten!AI50-Rohdaten!AI31</f>
        <v>-7.9999999999999932E-3</v>
      </c>
      <c r="AH30">
        <f>Rohdaten!AJ50-Rohdaten!AJ31</f>
        <v>-6.9999999999999923E-3</v>
      </c>
      <c r="AI30">
        <f>Rohdaten!AK50-Rohdaten!AK31</f>
        <v>9.9999999999999992E-2</v>
      </c>
      <c r="AJ30">
        <f>Rohdaten!AL50-Rohdaten!AL31</f>
        <v>3.4999999999999989E-2</v>
      </c>
      <c r="AK30">
        <f>Rohdaten!AM50-Rohdaten!AM31</f>
        <v>-7.0000000000000062E-3</v>
      </c>
      <c r="AL30">
        <f>Rohdaten!AN50-Rohdaten!AN31</f>
        <v>-7.0000000000000062E-3</v>
      </c>
      <c r="AM30">
        <f>Rohdaten!AO50-Rohdaten!AO31</f>
        <v>-4.9999999999999906E-3</v>
      </c>
    </row>
    <row r="31" spans="1:41">
      <c r="B31">
        <f>Rohdaten!B51-Rohdaten!B32</f>
        <v>-1.0000000000000009E-2</v>
      </c>
      <c r="C31">
        <f>Rohdaten!C51-Rohdaten!C32</f>
        <v>-4.9999999999999767E-3</v>
      </c>
      <c r="D31">
        <f>Rohdaten!D51-Rohdaten!D32</f>
        <v>-4.9999999999999767E-3</v>
      </c>
      <c r="E31">
        <f>Rohdaten!E51-Rohdaten!E32</f>
        <v>-7.0000000000000062E-3</v>
      </c>
      <c r="F31">
        <f>Rohdaten!F51-Rohdaten!F32</f>
        <v>0.122</v>
      </c>
      <c r="G31">
        <f>Rohdaten!G51-Rohdaten!G32</f>
        <v>-9.000000000000008E-3</v>
      </c>
      <c r="H31">
        <f>Rohdaten!H51-Rohdaten!H32</f>
        <v>-6.0000000000000053E-3</v>
      </c>
      <c r="I31">
        <f>Rohdaten!I51-Rohdaten!I32</f>
        <v>-7.9999999999999793E-3</v>
      </c>
      <c r="J31">
        <f>Rohdaten!J51-Rohdaten!J32</f>
        <v>2.6999999999999996E-2</v>
      </c>
      <c r="K31">
        <f>Rohdaten!K51-Rohdaten!K32</f>
        <v>-7.0000000000000062E-3</v>
      </c>
      <c r="L31">
        <f>Rohdaten!L51-Rohdaten!L32</f>
        <v>-6.0000000000000053E-3</v>
      </c>
      <c r="M31">
        <f>Rohdaten!M51-Rohdaten!M32</f>
        <v>0.505</v>
      </c>
      <c r="O31">
        <f>Rohdaten!P51-Rohdaten!P32</f>
        <v>0.17200000000000001</v>
      </c>
      <c r="P31">
        <f>Rohdaten!Q51-Rohdaten!Q32</f>
        <v>-6.0000000000000053E-3</v>
      </c>
      <c r="Q31">
        <f>Rohdaten!R51-Rohdaten!R32</f>
        <v>-4.0000000000000036E-3</v>
      </c>
      <c r="R31">
        <f>Rohdaten!S51-Rohdaten!S32</f>
        <v>-5.0000000000000044E-3</v>
      </c>
      <c r="S31">
        <f>Rohdaten!T51-Rohdaten!T32</f>
        <v>2.3999999999999994E-2</v>
      </c>
      <c r="T31">
        <f>Rohdaten!U51-Rohdaten!U32</f>
        <v>-6.0000000000000053E-3</v>
      </c>
      <c r="U31">
        <f>Rohdaten!V51-Rohdaten!V32</f>
        <v>-8.0000000000000071E-3</v>
      </c>
      <c r="V31">
        <f>Rohdaten!W51-Rohdaten!W32</f>
        <v>-7.0000000000000062E-3</v>
      </c>
      <c r="W31">
        <f>Rohdaten!X51-Rohdaten!X32</f>
        <v>2.300000000000002E-2</v>
      </c>
      <c r="X31">
        <f>Rohdaten!Y51-Rohdaten!Y32</f>
        <v>-7.0000000000000062E-3</v>
      </c>
      <c r="Y31">
        <f>Rohdaten!Z51-Rohdaten!Z32</f>
        <v>-7.0000000000000062E-3</v>
      </c>
      <c r="Z31">
        <f>Rohdaten!AA51-Rohdaten!AA32</f>
        <v>-8.0000000000000071E-3</v>
      </c>
      <c r="AB31">
        <f>Rohdaten!AD51-Rohdaten!AD32</f>
        <v>-1.100000000000001E-2</v>
      </c>
      <c r="AC31">
        <f>Rohdaten!AE51-Rohdaten!AE32</f>
        <v>-7.0000000000000062E-3</v>
      </c>
      <c r="AD31">
        <f>Rohdaten!AF51-Rohdaten!AF32</f>
        <v>6.2E-2</v>
      </c>
      <c r="AE31">
        <f>Rohdaten!AG51-Rohdaten!AG32</f>
        <v>-6.0000000000000053E-3</v>
      </c>
      <c r="AF31">
        <f>Rohdaten!AH51-Rohdaten!AH32</f>
        <v>6.0000000000000053E-3</v>
      </c>
      <c r="AG31">
        <f>Rohdaten!AI51-Rohdaten!AI32</f>
        <v>2.2999999999999993E-2</v>
      </c>
      <c r="AH31">
        <f>Rohdaten!AJ51-Rohdaten!AJ32</f>
        <v>2.4999999999999994E-2</v>
      </c>
      <c r="AI31">
        <f>Rohdaten!AK51-Rohdaten!AK32</f>
        <v>-7.0000000000000062E-3</v>
      </c>
      <c r="AJ31">
        <f>Rohdaten!AL51-Rohdaten!AL32</f>
        <v>2.5000000000000022E-2</v>
      </c>
      <c r="AK31">
        <f>Rohdaten!AM51-Rohdaten!AM32</f>
        <v>0.10799999999999998</v>
      </c>
      <c r="AL31">
        <f>Rohdaten!AN51-Rohdaten!AN32</f>
        <v>-7.0000000000000062E-3</v>
      </c>
      <c r="AM31">
        <f>Rohdaten!AO51-Rohdaten!AO32</f>
        <v>-1.100000000000001E-2</v>
      </c>
    </row>
    <row r="32" spans="1:41">
      <c r="B32">
        <f>Rohdaten!B52-Rohdaten!B33</f>
        <v>-9.000000000000008E-3</v>
      </c>
      <c r="C32">
        <f>Rohdaten!C52-Rohdaten!C33</f>
        <v>-5.9999999999999915E-3</v>
      </c>
      <c r="D32">
        <f>Rohdaten!D52-Rohdaten!D33</f>
        <v>-3.9999999999999897E-3</v>
      </c>
      <c r="E32">
        <f>Rohdaten!E52-Rohdaten!E33</f>
        <v>-5.9999999999999915E-3</v>
      </c>
      <c r="F32">
        <f>Rohdaten!F52-Rohdaten!F33</f>
        <v>3.9999999999999994E-2</v>
      </c>
      <c r="G32">
        <f>Rohdaten!G52-Rohdaten!G33</f>
        <v>-7.0000000000000062E-3</v>
      </c>
      <c r="H32">
        <f>Rohdaten!H52-Rohdaten!H33</f>
        <v>-5.0000000000000044E-3</v>
      </c>
      <c r="I32">
        <f>Rohdaten!I52-Rohdaten!I33</f>
        <v>-7.9999999999999932E-3</v>
      </c>
      <c r="J32">
        <f>Rohdaten!J52-Rohdaten!J33</f>
        <v>-1.0000000000000009E-3</v>
      </c>
      <c r="K32">
        <f>Rohdaten!K52-Rohdaten!K33</f>
        <v>-7.0000000000000062E-3</v>
      </c>
      <c r="L32">
        <f>Rohdaten!L52-Rohdaten!L33</f>
        <v>-3.0000000000000027E-3</v>
      </c>
      <c r="M32">
        <f>Rohdaten!M52-Rohdaten!M33</f>
        <v>0.115</v>
      </c>
      <c r="O32">
        <f>Rohdaten!P52-Rohdaten!P33</f>
        <v>5.2999999999999992E-2</v>
      </c>
      <c r="P32">
        <f>Rohdaten!Q52-Rohdaten!Q33</f>
        <v>-8.0000000000000071E-3</v>
      </c>
      <c r="Q32">
        <f>Rohdaten!R52-Rohdaten!R33</f>
        <v>-4.0000000000000036E-3</v>
      </c>
      <c r="R32">
        <f>Rohdaten!S52-Rohdaten!S33</f>
        <v>-4.9999999999999906E-3</v>
      </c>
      <c r="S32">
        <f>Rohdaten!T52-Rohdaten!T33</f>
        <v>-6.0000000000000053E-3</v>
      </c>
      <c r="T32">
        <f>Rohdaten!U52-Rohdaten!U33</f>
        <v>-5.9999999999999915E-3</v>
      </c>
      <c r="U32">
        <f>Rohdaten!V52-Rohdaten!V33</f>
        <v>-7.9999999999999932E-3</v>
      </c>
      <c r="V32">
        <f>Rohdaten!W52-Rohdaten!W33</f>
        <v>-7.9999999999999932E-3</v>
      </c>
      <c r="W32">
        <f>Rohdaten!X52-Rohdaten!X33</f>
        <v>-2.0000000000000018E-3</v>
      </c>
      <c r="X32">
        <f>Rohdaten!Y52-Rohdaten!Y33</f>
        <v>-7.0000000000000062E-3</v>
      </c>
      <c r="Y32">
        <f>Rohdaten!Z52-Rohdaten!Z33</f>
        <v>-7.9999999999999932E-3</v>
      </c>
      <c r="Z32">
        <f>Rohdaten!AA52-Rohdaten!AA33</f>
        <v>-7.9999999999999932E-3</v>
      </c>
      <c r="AB32">
        <f>Rohdaten!AD52-Rohdaten!AD33</f>
        <v>-9.999999999999995E-3</v>
      </c>
      <c r="AC32">
        <f>Rohdaten!AE52-Rohdaten!AE33</f>
        <v>-7.0000000000000062E-3</v>
      </c>
      <c r="AD32">
        <f>Rohdaten!AF52-Rohdaten!AF33</f>
        <v>2.0000000000000018E-2</v>
      </c>
      <c r="AE32">
        <f>Rohdaten!AG52-Rohdaten!AG33</f>
        <v>-5.9999999999999915E-3</v>
      </c>
      <c r="AF32">
        <f>Rohdaten!AH52-Rohdaten!AH33</f>
        <v>-7.0000000000000062E-3</v>
      </c>
      <c r="AG32">
        <f>Rohdaten!AI52-Rohdaten!AI33</f>
        <v>-7.0000000000000062E-3</v>
      </c>
      <c r="AH32">
        <f>Rohdaten!AJ52-Rohdaten!AJ33</f>
        <v>6.0000000000000053E-3</v>
      </c>
      <c r="AI32">
        <f>Rohdaten!AK52-Rohdaten!AK33</f>
        <v>-7.0000000000000062E-3</v>
      </c>
      <c r="AJ32">
        <f>Rohdaten!AL52-Rohdaten!AL33</f>
        <v>-2.0000000000000018E-3</v>
      </c>
      <c r="AK32">
        <f>Rohdaten!AM52-Rohdaten!AM33</f>
        <v>2.8999999999999998E-2</v>
      </c>
      <c r="AL32">
        <f>Rohdaten!AN52-Rohdaten!AN33</f>
        <v>-6.9999999999999923E-3</v>
      </c>
      <c r="AM32">
        <f>Rohdaten!AO52-Rohdaten!AO33</f>
        <v>-1.0000000000000009E-2</v>
      </c>
    </row>
    <row r="33" spans="1:39">
      <c r="B33">
        <f>Rohdaten!B53-Rohdaten!B34</f>
        <v>8.0000000000000071E-3</v>
      </c>
      <c r="C33">
        <f>Rohdaten!C53-Rohdaten!C34</f>
        <v>6.7000000000000004E-2</v>
      </c>
      <c r="D33">
        <f>Rohdaten!D53-Rohdaten!D34</f>
        <v>0.10600000000000001</v>
      </c>
      <c r="E33">
        <f>Rohdaten!E53-Rohdaten!E34</f>
        <v>2.5999999999999995E-2</v>
      </c>
      <c r="F33">
        <f>Rohdaten!F53-Rohdaten!F34</f>
        <v>-3.0000000000000027E-3</v>
      </c>
      <c r="G33">
        <f>Rohdaten!G53-Rohdaten!G34</f>
        <v>-6.0000000000000053E-3</v>
      </c>
      <c r="H33">
        <f>Rohdaten!H53-Rohdaten!H34</f>
        <v>-4.0000000000000036E-3</v>
      </c>
      <c r="I33">
        <f>Rohdaten!I53-Rohdaten!I34</f>
        <v>-5.0000000000000044E-3</v>
      </c>
      <c r="J33">
        <f>Rohdaten!J53-Rohdaten!J34</f>
        <v>3.2000000000000001E-2</v>
      </c>
      <c r="K33">
        <f>Rohdaten!K53-Rohdaten!K34</f>
        <v>8.5999999999999965E-2</v>
      </c>
      <c r="L33">
        <f>Rohdaten!L53-Rohdaten!L34</f>
        <v>-2.0000000000000018E-3</v>
      </c>
      <c r="M33">
        <f>Rohdaten!M53-Rohdaten!M34</f>
        <v>-5.0000000000000044E-3</v>
      </c>
      <c r="O33">
        <f>Rohdaten!P53-Rohdaten!P34</f>
        <v>-7.0000000000000062E-3</v>
      </c>
      <c r="P33">
        <f>Rohdaten!Q53-Rohdaten!Q34</f>
        <v>-2.0000000000000018E-3</v>
      </c>
      <c r="Q33">
        <f>Rohdaten!R53-Rohdaten!R34</f>
        <v>-6.0000000000000053E-3</v>
      </c>
      <c r="R33">
        <f>Rohdaten!S53-Rohdaten!S34</f>
        <v>2.1999999999999964E-2</v>
      </c>
      <c r="S33">
        <f>Rohdaten!T53-Rohdaten!T34</f>
        <v>-4.0000000000000036E-3</v>
      </c>
      <c r="T33">
        <f>Rohdaten!U53-Rohdaten!U34</f>
        <v>-6.0000000000000053E-3</v>
      </c>
      <c r="U33">
        <f>Rohdaten!V53-Rohdaten!V34</f>
        <v>4.0000000000000036E-3</v>
      </c>
      <c r="V33">
        <f>Rohdaten!W53-Rohdaten!W34</f>
        <v>3.1E-2</v>
      </c>
      <c r="W33">
        <f>Rohdaten!X53-Rohdaten!X34</f>
        <v>4.7999999999999987E-2</v>
      </c>
      <c r="X33">
        <f>Rohdaten!Y53-Rohdaten!Y34</f>
        <v>5.400000000000002E-2</v>
      </c>
      <c r="Y33">
        <f>Rohdaten!Z53-Rohdaten!Z34</f>
        <v>4.7999999999999987E-2</v>
      </c>
      <c r="Z33">
        <f>Rohdaten!AA53-Rohdaten!AA34</f>
        <v>-4.0000000000000036E-3</v>
      </c>
      <c r="AB33">
        <f>Rohdaten!AD53-Rohdaten!AD34</f>
        <v>-1.0000000000000009E-2</v>
      </c>
      <c r="AC33">
        <f>Rohdaten!AE53-Rohdaten!AE34</f>
        <v>6.3E-2</v>
      </c>
      <c r="AD33">
        <f>Rohdaten!AF53-Rohdaten!AF34</f>
        <v>-7.0000000000000062E-3</v>
      </c>
      <c r="AE33">
        <f>Rohdaten!AG53-Rohdaten!AG34</f>
        <v>3.5000000000000031E-2</v>
      </c>
      <c r="AF33">
        <f>Rohdaten!AH53-Rohdaten!AH34</f>
        <v>7.5999999999999984E-2</v>
      </c>
      <c r="AG33">
        <f>Rohdaten!AI53-Rohdaten!AI34</f>
        <v>-7.0000000000000062E-3</v>
      </c>
      <c r="AH33">
        <f>Rohdaten!AJ53-Rohdaten!AJ34</f>
        <v>-4.0000000000000036E-3</v>
      </c>
      <c r="AI33">
        <f>Rohdaten!AK53-Rohdaten!AK34</f>
        <v>0.06</v>
      </c>
      <c r="AJ33">
        <f>Rohdaten!AL53-Rohdaten!AL34</f>
        <v>1.6999999999999987E-2</v>
      </c>
      <c r="AK33">
        <f>Rohdaten!AM53-Rohdaten!AM34</f>
        <v>8.1000000000000016E-2</v>
      </c>
      <c r="AL33">
        <f>Rohdaten!AN53-Rohdaten!AN34</f>
        <v>-2.0000000000000018E-3</v>
      </c>
      <c r="AM33">
        <f>Rohdaten!AO53-Rohdaten!AO34</f>
        <v>3.8000000000000006E-2</v>
      </c>
    </row>
    <row r="34" spans="1:39">
      <c r="B34">
        <f>Rohdaten!B54-Rohdaten!B35</f>
        <v>-6.0000000000000053E-3</v>
      </c>
      <c r="C34">
        <f>Rohdaten!C54-Rohdaten!C35</f>
        <v>9.9999999999999811E-3</v>
      </c>
      <c r="D34">
        <f>Rohdaten!D54-Rohdaten!D35</f>
        <v>3.2000000000000001E-2</v>
      </c>
      <c r="E34">
        <f>Rohdaten!E54-Rohdaten!E35</f>
        <v>8.0000000000000071E-3</v>
      </c>
      <c r="F34">
        <f>Rohdaten!F54-Rohdaten!F35</f>
        <v>-2.0000000000000018E-3</v>
      </c>
      <c r="G34">
        <f>Rohdaten!G54-Rohdaten!G35</f>
        <v>-1.0000000000000009E-3</v>
      </c>
      <c r="H34">
        <f>Rohdaten!H54-Rohdaten!H35</f>
        <v>-2.9999999999999888E-3</v>
      </c>
      <c r="I34">
        <f>Rohdaten!I54-Rohdaten!I35</f>
        <v>-5.0000000000000044E-3</v>
      </c>
      <c r="J34">
        <f>Rohdaten!J54-Rohdaten!J35</f>
        <v>7.0000000000000062E-3</v>
      </c>
      <c r="K34">
        <f>Rohdaten!K54-Rohdaten!K35</f>
        <v>2.3999999999999994E-2</v>
      </c>
      <c r="L34">
        <f>Rohdaten!L54-Rohdaten!L35</f>
        <v>-3.0000000000000027E-3</v>
      </c>
      <c r="M34">
        <f>Rohdaten!M54-Rohdaten!M35</f>
        <v>-4.9999999999999906E-3</v>
      </c>
      <c r="O34">
        <f>Rohdaten!P54-Rohdaten!P35</f>
        <v>-6.9999999999999923E-3</v>
      </c>
      <c r="P34">
        <f>Rohdaten!Q54-Rohdaten!Q35</f>
        <v>-4.9999999999999906E-3</v>
      </c>
      <c r="Q34">
        <f>Rohdaten!R54-Rohdaten!R35</f>
        <v>-5.0000000000000044E-3</v>
      </c>
      <c r="R34">
        <f>Rohdaten!S54-Rohdaten!S35</f>
        <v>9.9999999999999811E-3</v>
      </c>
      <c r="S34">
        <f>Rohdaten!T54-Rohdaten!T35</f>
        <v>-4.0000000000000036E-3</v>
      </c>
      <c r="T34">
        <f>Rohdaten!U54-Rohdaten!U35</f>
        <v>-5.0000000000000044E-3</v>
      </c>
      <c r="U34">
        <f>Rohdaten!V54-Rohdaten!V35</f>
        <v>4.0000000000000036E-3</v>
      </c>
      <c r="V34">
        <f>Rohdaten!W54-Rohdaten!W35</f>
        <v>6.9999999999999923E-3</v>
      </c>
      <c r="W34">
        <f>Rohdaten!X54-Rohdaten!X35</f>
        <v>1.0999999999999996E-2</v>
      </c>
      <c r="X34">
        <f>Rohdaten!Y54-Rohdaten!Y35</f>
        <v>1.9000000000000003E-2</v>
      </c>
      <c r="Y34">
        <f>Rohdaten!Z54-Rohdaten!Z35</f>
        <v>1.2999999999999998E-2</v>
      </c>
      <c r="Z34">
        <f>Rohdaten!AA54-Rohdaten!AA35</f>
        <v>-3.9999999999999897E-3</v>
      </c>
      <c r="AB34">
        <f>Rohdaten!AD54-Rohdaten!AD35</f>
        <v>-9.000000000000008E-3</v>
      </c>
      <c r="AC34">
        <f>Rohdaten!AE54-Rohdaten!AE35</f>
        <v>1.5999999999999986E-2</v>
      </c>
      <c r="AD34">
        <f>Rohdaten!AF54-Rohdaten!AF35</f>
        <v>-7.0000000000000062E-3</v>
      </c>
      <c r="AE34">
        <f>Rohdaten!AG54-Rohdaten!AG35</f>
        <v>1.3000000000000012E-2</v>
      </c>
      <c r="AF34">
        <f>Rohdaten!AH54-Rohdaten!AH35</f>
        <v>2.4999999999999994E-2</v>
      </c>
      <c r="AG34">
        <f>Rohdaten!AI54-Rohdaten!AI35</f>
        <v>-2.9999999999999888E-3</v>
      </c>
      <c r="AH34">
        <f>Rohdaten!AJ54-Rohdaten!AJ35</f>
        <v>-4.0000000000000036E-3</v>
      </c>
      <c r="AI34">
        <f>Rohdaten!AK54-Rohdaten!AK35</f>
        <v>2.2000000000000006E-2</v>
      </c>
      <c r="AJ34">
        <f>Rohdaten!AL54-Rohdaten!AL35</f>
        <v>0</v>
      </c>
      <c r="AK34">
        <f>Rohdaten!AM54-Rohdaten!AM35</f>
        <v>2.8000000000000011E-2</v>
      </c>
      <c r="AL34">
        <f>Rohdaten!AN54-Rohdaten!AN35</f>
        <v>-3.9999999999999897E-3</v>
      </c>
      <c r="AM34">
        <f>Rohdaten!AO54-Rohdaten!AO35</f>
        <v>1.100000000000001E-2</v>
      </c>
    </row>
    <row r="35" spans="1:39">
      <c r="B35">
        <f>Rohdaten!B55-Rohdaten!B36</f>
        <v>8.7000000000000022E-2</v>
      </c>
      <c r="C35">
        <f>Rohdaten!C55-Rohdaten!C36</f>
        <v>-4.9999999999999906E-3</v>
      </c>
      <c r="D35">
        <f>Rohdaten!D55-Rohdaten!D36</f>
        <v>-1.0000000000000009E-2</v>
      </c>
      <c r="E35">
        <f>Rohdaten!E55-Rohdaten!E36</f>
        <v>-4.0000000000000036E-3</v>
      </c>
      <c r="F35">
        <f>Rohdaten!F55-Rohdaten!F36</f>
        <v>-8.0000000000000071E-3</v>
      </c>
      <c r="G35">
        <f>Rohdaten!G55-Rohdaten!G36</f>
        <v>-8.0000000000000071E-3</v>
      </c>
      <c r="H35">
        <f>Rohdaten!H55-Rohdaten!H36</f>
        <v>-8.0000000000000071E-3</v>
      </c>
      <c r="I35">
        <f>Rohdaten!I55-Rohdaten!I36</f>
        <v>-8.0000000000000071E-3</v>
      </c>
      <c r="J35">
        <f>Rohdaten!J55-Rohdaten!J36</f>
        <v>0.17799999999999994</v>
      </c>
      <c r="K35">
        <f>Rohdaten!K55-Rohdaten!K36</f>
        <v>-1.0000000000000009E-2</v>
      </c>
      <c r="L35">
        <f>Rohdaten!L55-Rohdaten!L36</f>
        <v>-4.9999999999999767E-3</v>
      </c>
      <c r="M35">
        <f>Rohdaten!M55-Rohdaten!M36</f>
        <v>-1.1999999999999983E-2</v>
      </c>
      <c r="O35">
        <f>Rohdaten!P55-Rohdaten!P36</f>
        <v>4.9999999999999989E-2</v>
      </c>
      <c r="P35">
        <f>Rohdaten!Q55-Rohdaten!Q36</f>
        <v>-4.0000000000000036E-3</v>
      </c>
      <c r="Q35">
        <f>Rohdaten!R55-Rohdaten!R36</f>
        <v>-5.0000000000000044E-3</v>
      </c>
      <c r="R35">
        <f>Rohdaten!S55-Rohdaten!S36</f>
        <v>-5.0000000000000044E-3</v>
      </c>
      <c r="S35">
        <f>Rohdaten!T55-Rohdaten!T36</f>
        <v>-6.0000000000000053E-3</v>
      </c>
      <c r="T35">
        <f>Rohdaten!U55-Rohdaten!U36</f>
        <v>-7.0000000000000062E-3</v>
      </c>
      <c r="U35">
        <f>Rohdaten!V55-Rohdaten!V36</f>
        <v>5.6999999999999995E-2</v>
      </c>
      <c r="V35">
        <f>Rohdaten!W55-Rohdaten!W36</f>
        <v>-6.0000000000000053E-3</v>
      </c>
      <c r="W35">
        <f>Rohdaten!X55-Rohdaten!X36</f>
        <v>0.18899999999999995</v>
      </c>
      <c r="X35">
        <f>Rohdaten!Y55-Rohdaten!Y36</f>
        <v>-5.0000000000000044E-3</v>
      </c>
      <c r="Y35">
        <f>Rohdaten!Z55-Rohdaten!Z36</f>
        <v>-4.0000000000000036E-3</v>
      </c>
      <c r="Z35">
        <f>Rohdaten!AA55-Rohdaten!AA36</f>
        <v>-7.9999999999999793E-3</v>
      </c>
      <c r="AB35">
        <f>Rohdaten!AD55-Rohdaten!AD36</f>
        <v>4.9999999999999989E-2</v>
      </c>
      <c r="AC35">
        <f>Rohdaten!AE55-Rohdaten!AE36</f>
        <v>-5.0000000000000044E-3</v>
      </c>
      <c r="AD35">
        <f>Rohdaten!AF55-Rohdaten!AF36</f>
        <v>1.0389999999999999</v>
      </c>
      <c r="AE35">
        <f>Rohdaten!AG55-Rohdaten!AG36</f>
        <v>1.0000000000000009E-3</v>
      </c>
      <c r="AF35">
        <f>Rohdaten!AH55-Rohdaten!AH36</f>
        <v>-8.0000000000000071E-3</v>
      </c>
      <c r="AG35">
        <f>Rohdaten!AI55-Rohdaten!AI36</f>
        <v>-7.0000000000000062E-3</v>
      </c>
      <c r="AH35">
        <f>Rohdaten!AJ55-Rohdaten!AJ36</f>
        <v>-9.000000000000008E-3</v>
      </c>
      <c r="AI35">
        <f>Rohdaten!AK55-Rohdaten!AK36</f>
        <v>5.7999999999999996E-2</v>
      </c>
      <c r="AJ35">
        <f>Rohdaten!AL55-Rohdaten!AL36</f>
        <v>0.17099999999999993</v>
      </c>
      <c r="AK35">
        <f>Rohdaten!AM55-Rohdaten!AM36</f>
        <v>3.999999999999998E-2</v>
      </c>
      <c r="AL35">
        <f>Rohdaten!AN55-Rohdaten!AN36</f>
        <v>-6.0000000000000053E-3</v>
      </c>
      <c r="AM35">
        <f>Rohdaten!AO55-Rohdaten!AO36</f>
        <v>-1.100000000000001E-2</v>
      </c>
    </row>
    <row r="36" spans="1:39">
      <c r="B36">
        <f>Rohdaten!B56-Rohdaten!B37</f>
        <v>0.03</v>
      </c>
      <c r="C36">
        <f>Rohdaten!C56-Rohdaten!C37</f>
        <v>-4.0000000000000036E-3</v>
      </c>
      <c r="D36">
        <f>Rohdaten!D56-Rohdaten!D37</f>
        <v>-8.9999999999999941E-3</v>
      </c>
      <c r="E36">
        <f>Rohdaten!E56-Rohdaten!E37</f>
        <v>-6.0000000000000053E-3</v>
      </c>
      <c r="F36">
        <f>Rohdaten!F56-Rohdaten!F37</f>
        <v>-8.0000000000000071E-3</v>
      </c>
      <c r="G36">
        <f>Rohdaten!G56-Rohdaten!G37</f>
        <v>-8.0000000000000071E-3</v>
      </c>
      <c r="H36">
        <f>Rohdaten!H56-Rohdaten!H37</f>
        <v>-7.0000000000000062E-3</v>
      </c>
      <c r="I36">
        <f>Rohdaten!I56-Rohdaten!I37</f>
        <v>-8.9999999999999941E-3</v>
      </c>
      <c r="J36">
        <f>Rohdaten!J56-Rohdaten!J37</f>
        <v>9.0000000000000024E-2</v>
      </c>
      <c r="K36">
        <f>Rohdaten!K56-Rohdaten!K37</f>
        <v>-8.0000000000000071E-3</v>
      </c>
      <c r="L36">
        <f>Rohdaten!L56-Rohdaten!L37</f>
        <v>-1.0999999999999996E-2</v>
      </c>
      <c r="M36">
        <f>Rohdaten!M56-Rohdaten!M37</f>
        <v>-1.1999999999999997E-2</v>
      </c>
      <c r="O36">
        <f>Rohdaten!P56-Rohdaten!P37</f>
        <v>2.4999999999999994E-2</v>
      </c>
      <c r="P36">
        <f>Rohdaten!Q56-Rohdaten!Q37</f>
        <v>-4.0000000000000036E-3</v>
      </c>
      <c r="Q36">
        <f>Rohdaten!R56-Rohdaten!R37</f>
        <v>-6.0000000000000053E-3</v>
      </c>
      <c r="R36">
        <f>Rohdaten!S56-Rohdaten!S37</f>
        <v>-4.0000000000000036E-3</v>
      </c>
      <c r="S36">
        <f>Rohdaten!T56-Rohdaten!T37</f>
        <v>-6.0000000000000053E-3</v>
      </c>
      <c r="T36">
        <f>Rohdaten!U56-Rohdaten!U37</f>
        <v>-7.0000000000000062E-3</v>
      </c>
      <c r="U36">
        <f>Rohdaten!V56-Rohdaten!V37</f>
        <v>9.999999999999995E-3</v>
      </c>
      <c r="V36">
        <f>Rohdaten!W56-Rohdaten!W37</f>
        <v>-6.9999999999999923E-3</v>
      </c>
      <c r="W36">
        <f>Rohdaten!X56-Rohdaten!X37</f>
        <v>0.10099999999999998</v>
      </c>
      <c r="X36">
        <f>Rohdaten!Y56-Rohdaten!Y37</f>
        <v>-7.9999999999999932E-3</v>
      </c>
      <c r="Y36">
        <f>Rohdaten!Z56-Rohdaten!Z37</f>
        <v>-9.999999999999995E-3</v>
      </c>
      <c r="Z36">
        <f>Rohdaten!AA56-Rohdaten!AA37</f>
        <v>-7.9999999999999932E-3</v>
      </c>
      <c r="AB36">
        <f>Rohdaten!AD56-Rohdaten!AD37</f>
        <v>2.4999999999999994E-2</v>
      </c>
      <c r="AC36">
        <f>Rohdaten!AE56-Rohdaten!AE37</f>
        <v>-5.0000000000000044E-3</v>
      </c>
      <c r="AD36">
        <f>Rohdaten!AF56-Rohdaten!AF37</f>
        <v>0.29800000000000004</v>
      </c>
      <c r="AE36">
        <f>Rohdaten!AG56-Rohdaten!AG37</f>
        <v>-1.0000000000000009E-3</v>
      </c>
      <c r="AF36">
        <f>Rohdaten!AH56-Rohdaten!AH37</f>
        <v>-7.9999999999999932E-3</v>
      </c>
      <c r="AG36">
        <f>Rohdaten!AI56-Rohdaten!AI37</f>
        <v>-7.9999999999999932E-3</v>
      </c>
      <c r="AH36">
        <f>Rohdaten!AJ56-Rohdaten!AJ37</f>
        <v>-8.9999999999999941E-3</v>
      </c>
      <c r="AI36">
        <f>Rohdaten!AK56-Rohdaten!AK37</f>
        <v>1.0999999999999996E-2</v>
      </c>
      <c r="AJ36">
        <f>Rohdaten!AL56-Rohdaten!AL37</f>
        <v>8.5999999999999965E-2</v>
      </c>
      <c r="AK36">
        <f>Rohdaten!AM56-Rohdaten!AM37</f>
        <v>7.0000000000000062E-3</v>
      </c>
      <c r="AL36">
        <f>Rohdaten!AN56-Rohdaten!AN37</f>
        <v>-1.1999999999999997E-2</v>
      </c>
      <c r="AM36">
        <f>Rohdaten!AO56-Rohdaten!AO37</f>
        <v>-1.1999999999999997E-2</v>
      </c>
    </row>
    <row r="38" spans="1:39">
      <c r="A38" s="33"/>
      <c r="B38" s="33" t="s">
        <v>12</v>
      </c>
      <c r="C38" s="33" t="s">
        <v>19</v>
      </c>
      <c r="D38" s="33" t="s">
        <v>13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</row>
    <row r="39" spans="1:39">
      <c r="B39">
        <f>Rohdaten!B60-Rohdaten!B41</f>
        <v>-2.0000000000000018E-3</v>
      </c>
      <c r="C39">
        <f>Rohdaten!C60-Rohdaten!C41</f>
        <v>-1.0000000000000009E-3</v>
      </c>
      <c r="D39">
        <f>Rohdaten!D60-Rohdaten!D41</f>
        <v>9.000000000000008E-3</v>
      </c>
      <c r="E39">
        <f>Rohdaten!E60-Rohdaten!E41</f>
        <v>2.200000000000002E-2</v>
      </c>
      <c r="F39">
        <f>Rohdaten!F60-Rohdaten!F41</f>
        <v>-2.0000000000000018E-3</v>
      </c>
      <c r="G39">
        <f>Rohdaten!G60-Rohdaten!G41</f>
        <v>-2.0000000000000018E-3</v>
      </c>
      <c r="H39">
        <f>Rohdaten!H60-Rohdaten!H41</f>
        <v>-2.0000000000000018E-3</v>
      </c>
      <c r="I39">
        <f>Rohdaten!I60-Rohdaten!I41</f>
        <v>-1.0000000000000009E-3</v>
      </c>
      <c r="J39">
        <f>Rohdaten!J60-Rohdaten!J41</f>
        <v>-2.0000000000000018E-3</v>
      </c>
      <c r="K39">
        <f>Rohdaten!K60-Rohdaten!K41</f>
        <v>1.0999999999999899E-2</v>
      </c>
      <c r="L39">
        <f>Rohdaten!L60-Rohdaten!L41</f>
        <v>2.1999999999999992E-2</v>
      </c>
      <c r="M39">
        <f>Rohdaten!M60-Rohdaten!M41</f>
        <v>-4.9999999999999489E-3</v>
      </c>
      <c r="O39">
        <f>Rohdaten!P60-Rohdaten!P41</f>
        <v>-2.0000000000000018E-3</v>
      </c>
      <c r="P39">
        <f>Rohdaten!Q60-Rohdaten!Q41</f>
        <v>-2.0000000000000018E-3</v>
      </c>
      <c r="Q39">
        <f>Rohdaten!R60-Rohdaten!R41</f>
        <v>-2.0000000000000018E-3</v>
      </c>
      <c r="R39">
        <f>Rohdaten!S60-Rohdaten!S41</f>
        <v>-1.0000000000000009E-3</v>
      </c>
      <c r="S39">
        <f>Rohdaten!T60-Rohdaten!T41</f>
        <v>-2.0000000000000018E-3</v>
      </c>
      <c r="T39">
        <f>Rohdaten!U60-Rohdaten!U41</f>
        <v>1.0000000000000009E-3</v>
      </c>
      <c r="U39">
        <f>Rohdaten!V60-Rohdaten!V41</f>
        <v>-1.0000000000000009E-3</v>
      </c>
      <c r="V39">
        <f>Rohdaten!W60-Rohdaten!W41</f>
        <v>-3.0000000000000027E-3</v>
      </c>
      <c r="W39">
        <f>Rohdaten!X60-Rohdaten!X41</f>
        <v>-2.0000000000000018E-3</v>
      </c>
      <c r="X39">
        <f>Rohdaten!Y60-Rohdaten!Y41</f>
        <v>2.0000000000000018E-3</v>
      </c>
      <c r="Y39">
        <f>Rohdaten!Z60-Rohdaten!Z41</f>
        <v>-2.0000000000000018E-3</v>
      </c>
      <c r="Z39">
        <f>Rohdaten!AA60-Rohdaten!AA41</f>
        <v>-3.0000000000000027E-3</v>
      </c>
      <c r="AB39">
        <f>Rohdaten!AD60-Rohdaten!AD41</f>
        <v>-2.0000000000000018E-3</v>
      </c>
      <c r="AC39">
        <f>Rohdaten!AE60-Rohdaten!AE41</f>
        <v>-2.0000000000000018E-3</v>
      </c>
      <c r="AD39">
        <f>Rohdaten!AF60-Rohdaten!AF41</f>
        <v>-2.0000000000000018E-3</v>
      </c>
      <c r="AE39">
        <f>Rohdaten!AG60-Rohdaten!AG41</f>
        <v>7.9999999999999793E-3</v>
      </c>
      <c r="AF39">
        <f>Rohdaten!AH60-Rohdaten!AH41</f>
        <v>-2.0000000000000018E-3</v>
      </c>
      <c r="AG39">
        <f>Rohdaten!AI60-Rohdaten!AI41</f>
        <v>-1.999999999999974E-3</v>
      </c>
      <c r="AH39">
        <f>Rohdaten!AJ60-Rohdaten!AJ41</f>
        <v>-3.0000000000000027E-3</v>
      </c>
      <c r="AI39">
        <f>Rohdaten!AK60-Rohdaten!AK41</f>
        <v>3.3000000000000002E-2</v>
      </c>
      <c r="AJ39">
        <f>Rohdaten!AL60-Rohdaten!AL41</f>
        <v>1.2999999999999984E-2</v>
      </c>
      <c r="AK39">
        <f>Rohdaten!AM60-Rohdaten!AM41</f>
        <v>2.0000000000000018E-3</v>
      </c>
      <c r="AL39">
        <f>Rohdaten!AN60-Rohdaten!AN41</f>
        <v>-2.0000000000000018E-3</v>
      </c>
      <c r="AM39">
        <f>Rohdaten!AO60-Rohdaten!AO41</f>
        <v>4.0000000000000036E-3</v>
      </c>
    </row>
    <row r="40" spans="1:39">
      <c r="B40">
        <f>Rohdaten!B61-Rohdaten!B42</f>
        <v>-2.0000000000000018E-3</v>
      </c>
      <c r="C40">
        <f>Rohdaten!C61-Rohdaten!C42</f>
        <v>-1.0000000000000009E-3</v>
      </c>
      <c r="D40">
        <f>Rohdaten!D61-Rohdaten!D42</f>
        <v>2.0000000000000018E-3</v>
      </c>
      <c r="E40">
        <f>Rohdaten!E61-Rohdaten!E42</f>
        <v>7.0000000000000062E-3</v>
      </c>
      <c r="F40">
        <f>Rohdaten!F61-Rohdaten!F42</f>
        <v>-1.0000000000000009E-3</v>
      </c>
      <c r="G40">
        <f>Rohdaten!G61-Rohdaten!G42</f>
        <v>-2.0000000000000018E-3</v>
      </c>
      <c r="H40">
        <f>Rohdaten!H61-Rohdaten!H42</f>
        <v>-2.0000000000000018E-3</v>
      </c>
      <c r="I40">
        <f>Rohdaten!I61-Rohdaten!I42</f>
        <v>-1.0000000000000009E-3</v>
      </c>
      <c r="J40">
        <f>Rohdaten!J61-Rohdaten!J42</f>
        <v>-1.0000000000000009E-3</v>
      </c>
      <c r="K40">
        <f>Rohdaten!K61-Rohdaten!K42</f>
        <v>6.0000000000000053E-3</v>
      </c>
      <c r="L40">
        <f>Rohdaten!L61-Rohdaten!L42</f>
        <v>5.9999999999999915E-3</v>
      </c>
      <c r="M40">
        <f>Rohdaten!M61-Rohdaten!M42</f>
        <v>-3.0000000000000027E-3</v>
      </c>
      <c r="O40">
        <f>Rohdaten!P61-Rohdaten!P42</f>
        <v>-1.0000000000000009E-3</v>
      </c>
      <c r="P40">
        <f>Rohdaten!Q61-Rohdaten!Q42</f>
        <v>-1.0000000000000009E-3</v>
      </c>
      <c r="Q40">
        <f>Rohdaten!R61-Rohdaten!R42</f>
        <v>-1.0000000000000009E-3</v>
      </c>
      <c r="R40">
        <f>Rohdaten!S61-Rohdaten!S42</f>
        <v>-2.0000000000000018E-3</v>
      </c>
      <c r="S40">
        <f>Rohdaten!T61-Rohdaten!T42</f>
        <v>-2.0000000000000018E-3</v>
      </c>
      <c r="T40">
        <f>Rohdaten!U61-Rohdaten!U42</f>
        <v>0</v>
      </c>
      <c r="U40">
        <f>Rohdaten!V61-Rohdaten!V42</f>
        <v>-1.0000000000000009E-3</v>
      </c>
      <c r="V40">
        <f>Rohdaten!W61-Rohdaten!W42</f>
        <v>-2.0000000000000018E-3</v>
      </c>
      <c r="W40">
        <f>Rohdaten!X61-Rohdaten!X42</f>
        <v>-2.0000000000000018E-3</v>
      </c>
      <c r="X40">
        <f>Rohdaten!Y61-Rohdaten!Y42</f>
        <v>3.0000000000000027E-3</v>
      </c>
      <c r="Y40">
        <f>Rohdaten!Z61-Rohdaten!Z42</f>
        <v>-3.0000000000000027E-3</v>
      </c>
      <c r="Z40">
        <f>Rohdaten!AA61-Rohdaten!AA42</f>
        <v>-3.0000000000000027E-3</v>
      </c>
      <c r="AB40">
        <f>Rohdaten!AD61-Rohdaten!AD42</f>
        <v>-2.0000000000000018E-3</v>
      </c>
      <c r="AC40">
        <f>Rohdaten!AE61-Rohdaten!AE42</f>
        <v>-1.0000000000000009E-3</v>
      </c>
      <c r="AD40">
        <f>Rohdaten!AF61-Rohdaten!AF42</f>
        <v>-2.0000000000000018E-3</v>
      </c>
      <c r="AE40">
        <f>Rohdaten!AG61-Rohdaten!AG42</f>
        <v>-1.0000000000000009E-3</v>
      </c>
      <c r="AF40">
        <f>Rohdaten!AH61-Rohdaten!AH42</f>
        <v>-1.0000000000000009E-3</v>
      </c>
      <c r="AG40">
        <f>Rohdaten!AI61-Rohdaten!AI42</f>
        <v>-3.0000000000000027E-3</v>
      </c>
      <c r="AH40">
        <f>Rohdaten!AJ61-Rohdaten!AJ42</f>
        <v>-2.0000000000000018E-3</v>
      </c>
      <c r="AI40">
        <f>Rohdaten!AK61-Rohdaten!AK42</f>
        <v>1.2000000000000011E-2</v>
      </c>
      <c r="AJ40">
        <f>Rohdaten!AL61-Rohdaten!AL42</f>
        <v>5.0000000000000044E-3</v>
      </c>
      <c r="AK40">
        <f>Rohdaten!AM61-Rohdaten!AM42</f>
        <v>3.0000000000000027E-3</v>
      </c>
      <c r="AL40">
        <f>Rohdaten!AN61-Rohdaten!AN42</f>
        <v>-1.0000000000000009E-3</v>
      </c>
      <c r="AM40">
        <f>Rohdaten!AO61-Rohdaten!AO42</f>
        <v>0</v>
      </c>
    </row>
    <row r="41" spans="1:39">
      <c r="B41">
        <f>Rohdaten!B62-Rohdaten!B43</f>
        <v>-2.0000000000000018E-3</v>
      </c>
      <c r="C41">
        <f>Rohdaten!C62-Rohdaten!C43</f>
        <v>-1.0000000000000009E-3</v>
      </c>
      <c r="D41">
        <f>Rohdaten!D62-Rohdaten!D43</f>
        <v>3.0000000000000027E-3</v>
      </c>
      <c r="E41">
        <f>Rohdaten!E62-Rohdaten!E43</f>
        <v>1.3000000000000012E-2</v>
      </c>
      <c r="F41">
        <f>Rohdaten!F62-Rohdaten!F43</f>
        <v>4.0000000000000036E-3</v>
      </c>
      <c r="G41">
        <f>Rohdaten!G62-Rohdaten!G43</f>
        <v>3.400000000000003E-2</v>
      </c>
      <c r="H41">
        <f>Rohdaten!H62-Rohdaten!H43</f>
        <v>1.0000000000000009E-2</v>
      </c>
      <c r="I41">
        <f>Rohdaten!I62-Rohdaten!I43</f>
        <v>1.999999999999974E-3</v>
      </c>
      <c r="J41">
        <f>Rohdaten!J62-Rohdaten!J43</f>
        <v>5.0000000000000044E-3</v>
      </c>
      <c r="K41">
        <f>Rohdaten!K62-Rohdaten!K43</f>
        <v>3.3000000000000029E-2</v>
      </c>
      <c r="L41">
        <f>Rohdaten!L62-Rohdaten!L43</f>
        <v>0</v>
      </c>
      <c r="M41">
        <f>Rohdaten!M62-Rohdaten!M43</f>
        <v>-9.9999999999997313E-4</v>
      </c>
      <c r="O41">
        <f>Rohdaten!P62-Rohdaten!P43</f>
        <v>-2.0000000000000018E-3</v>
      </c>
      <c r="P41">
        <f>Rohdaten!Q62-Rohdaten!Q43</f>
        <v>-1.0000000000000009E-3</v>
      </c>
      <c r="Q41">
        <f>Rohdaten!R62-Rohdaten!R43</f>
        <v>3.0000000000000027E-3</v>
      </c>
      <c r="R41">
        <f>Rohdaten!S62-Rohdaten!S43</f>
        <v>9.000000000000008E-3</v>
      </c>
      <c r="S41">
        <f>Rohdaten!T62-Rohdaten!T43</f>
        <v>5.0000000000000044E-3</v>
      </c>
      <c r="T41">
        <f>Rohdaten!U62-Rohdaten!U43</f>
        <v>3.9000000000000035E-2</v>
      </c>
      <c r="U41">
        <f>Rohdaten!V62-Rohdaten!V43</f>
        <v>2.5000000000000022E-2</v>
      </c>
      <c r="V41">
        <f>Rohdaten!W62-Rohdaten!W43</f>
        <v>-1.0000000000000009E-3</v>
      </c>
      <c r="W41">
        <f>Rohdaten!X62-Rohdaten!X43</f>
        <v>4.0000000000000036E-3</v>
      </c>
      <c r="X41">
        <f>Rohdaten!Y62-Rohdaten!Y43</f>
        <v>4.2999999999999927E-2</v>
      </c>
      <c r="Y41">
        <f>Rohdaten!Z62-Rohdaten!Z43</f>
        <v>1.8000000000000016E-2</v>
      </c>
      <c r="Z41">
        <f>Rohdaten!AA62-Rohdaten!AA43</f>
        <v>0</v>
      </c>
      <c r="AB41">
        <f>Rohdaten!AD62-Rohdaten!AD43</f>
        <v>-2.0000000000000018E-3</v>
      </c>
      <c r="AC41">
        <f>Rohdaten!AE62-Rohdaten!AE43</f>
        <v>-1.0000000000000009E-3</v>
      </c>
      <c r="AD41">
        <f>Rohdaten!AF62-Rohdaten!AF43</f>
        <v>1.0000000000000009E-3</v>
      </c>
      <c r="AE41">
        <f>Rohdaten!AG62-Rohdaten!AG43</f>
        <v>1.0000000000000009E-2</v>
      </c>
      <c r="AF41">
        <f>Rohdaten!AH62-Rohdaten!AH43</f>
        <v>2.0000000000000018E-3</v>
      </c>
      <c r="AG41">
        <f>Rohdaten!AI62-Rohdaten!AI43</f>
        <v>3.2000000000000028E-2</v>
      </c>
      <c r="AH41">
        <f>Rohdaten!AJ62-Rohdaten!AJ43</f>
        <v>6.0000000000000053E-3</v>
      </c>
      <c r="AI41">
        <f>Rohdaten!AK62-Rohdaten!AK43</f>
        <v>-1.999999999999974E-3</v>
      </c>
      <c r="AJ41">
        <f>Rohdaten!AL62-Rohdaten!AL43</f>
        <v>3.0000000000000027E-3</v>
      </c>
      <c r="AK41">
        <f>Rohdaten!AM62-Rohdaten!AM43</f>
        <v>4.500000000000004E-2</v>
      </c>
      <c r="AL41">
        <f>Rohdaten!AN62-Rohdaten!AN43</f>
        <v>-1.0000000000000009E-3</v>
      </c>
      <c r="AM41">
        <f>Rohdaten!AO62-Rohdaten!AO43</f>
        <v>-1.0000000000000009E-3</v>
      </c>
    </row>
    <row r="42" spans="1:39">
      <c r="B42">
        <f>Rohdaten!B63-Rohdaten!B44</f>
        <v>-1.0000000000000009E-3</v>
      </c>
      <c r="C42">
        <f>Rohdaten!C63-Rohdaten!C44</f>
        <v>-1.0000000000000009E-3</v>
      </c>
      <c r="D42">
        <f>Rohdaten!D63-Rohdaten!D44</f>
        <v>1.0000000000000009E-3</v>
      </c>
      <c r="E42">
        <f>Rohdaten!E63-Rohdaten!E44</f>
        <v>5.0000000000000044E-3</v>
      </c>
      <c r="F42">
        <f>Rohdaten!F63-Rohdaten!F44</f>
        <v>0</v>
      </c>
      <c r="G42">
        <f>Rohdaten!G63-Rohdaten!G44</f>
        <v>1.0000000000000009E-2</v>
      </c>
      <c r="H42">
        <f>Rohdaten!H63-Rohdaten!H44</f>
        <v>3.0000000000000027E-3</v>
      </c>
      <c r="I42">
        <f>Rohdaten!I63-Rohdaten!I44</f>
        <v>2.0000000000000018E-3</v>
      </c>
      <c r="J42">
        <f>Rohdaten!J63-Rohdaten!J44</f>
        <v>0</v>
      </c>
      <c r="K42">
        <f>Rohdaten!K63-Rohdaten!K44</f>
        <v>1.2000000000000011E-2</v>
      </c>
      <c r="L42">
        <f>Rohdaten!L63-Rohdaten!L44</f>
        <v>1.0000000000000009E-3</v>
      </c>
      <c r="M42">
        <f>Rohdaten!M63-Rohdaten!M44</f>
        <v>0</v>
      </c>
      <c r="O42">
        <f>Rohdaten!P63-Rohdaten!P44</f>
        <v>-2.0000000000000018E-3</v>
      </c>
      <c r="P42">
        <f>Rohdaten!Q63-Rohdaten!Q44</f>
        <v>-2.0000000000000018E-3</v>
      </c>
      <c r="Q42">
        <f>Rohdaten!R63-Rohdaten!R44</f>
        <v>1.0000000000000009E-3</v>
      </c>
      <c r="R42">
        <f>Rohdaten!S63-Rohdaten!S44</f>
        <v>4.0000000000000036E-3</v>
      </c>
      <c r="S42">
        <f>Rohdaten!T63-Rohdaten!T44</f>
        <v>1.0000000000000009E-3</v>
      </c>
      <c r="T42">
        <f>Rohdaten!U63-Rohdaten!U44</f>
        <v>1.8000000000000016E-2</v>
      </c>
      <c r="U42">
        <f>Rohdaten!V63-Rohdaten!V44</f>
        <v>1.5000000000000013E-2</v>
      </c>
      <c r="V42">
        <f>Rohdaten!W63-Rohdaten!W44</f>
        <v>-1.0000000000000009E-3</v>
      </c>
      <c r="W42">
        <f>Rohdaten!X63-Rohdaten!X44</f>
        <v>-1.0000000000000009E-3</v>
      </c>
      <c r="X42">
        <f>Rohdaten!Y63-Rohdaten!Y44</f>
        <v>2.200000000000002E-2</v>
      </c>
      <c r="Y42">
        <f>Rohdaten!Z63-Rohdaten!Z44</f>
        <v>3.0000000000000027E-3</v>
      </c>
      <c r="Z42">
        <f>Rohdaten!AA63-Rohdaten!AA44</f>
        <v>-1.0000000000000009E-3</v>
      </c>
      <c r="AB42">
        <f>Rohdaten!AD63-Rohdaten!AD44</f>
        <v>-1.0000000000000009E-3</v>
      </c>
      <c r="AC42">
        <f>Rohdaten!AE63-Rohdaten!AE44</f>
        <v>-1.0000000000000009E-3</v>
      </c>
      <c r="AD42">
        <f>Rohdaten!AF63-Rohdaten!AF44</f>
        <v>0</v>
      </c>
      <c r="AE42">
        <f>Rohdaten!AG63-Rohdaten!AG44</f>
        <v>5.0000000000000044E-3</v>
      </c>
      <c r="AF42">
        <f>Rohdaten!AH63-Rohdaten!AH44</f>
        <v>0</v>
      </c>
      <c r="AG42">
        <f>Rohdaten!AI63-Rohdaten!AI44</f>
        <v>1.3000000000000012E-2</v>
      </c>
      <c r="AH42">
        <f>Rohdaten!AJ63-Rohdaten!AJ44</f>
        <v>3.0000000000000027E-3</v>
      </c>
      <c r="AI42">
        <f>Rohdaten!AK63-Rohdaten!AK44</f>
        <v>-1.0000000000000009E-3</v>
      </c>
      <c r="AJ42">
        <f>Rohdaten!AL63-Rohdaten!AL44</f>
        <v>0</v>
      </c>
      <c r="AK42">
        <f>Rohdaten!AM63-Rohdaten!AM44</f>
        <v>1.9000000000000017E-2</v>
      </c>
      <c r="AL42">
        <f>Rohdaten!AN63-Rohdaten!AN44</f>
        <v>-1.0000000000000009E-3</v>
      </c>
      <c r="AM42">
        <f>Rohdaten!AO63-Rohdaten!AO44</f>
        <v>-1.0000000000000009E-3</v>
      </c>
    </row>
    <row r="43" spans="1:39">
      <c r="B43">
        <f>Rohdaten!B64-Rohdaten!B45</f>
        <v>3.0000000000000027E-3</v>
      </c>
      <c r="C43">
        <f>Rohdaten!C64-Rohdaten!C45</f>
        <v>-1.0000000000000009E-3</v>
      </c>
      <c r="D43">
        <f>Rohdaten!D64-Rohdaten!D45</f>
        <v>-1.0000000000000009E-3</v>
      </c>
      <c r="E43">
        <f>Rohdaten!E64-Rohdaten!E45</f>
        <v>3.3000000000000029E-2</v>
      </c>
      <c r="F43">
        <f>Rohdaten!F64-Rohdaten!F45</f>
        <v>1.7000000000000015E-2</v>
      </c>
      <c r="G43">
        <f>Rohdaten!G64-Rohdaten!G45</f>
        <v>1.4999999999999986E-2</v>
      </c>
      <c r="H43">
        <f>Rohdaten!H64-Rohdaten!H45</f>
        <v>-1.0000000000000009E-3</v>
      </c>
      <c r="I43">
        <f>Rohdaten!I64-Rohdaten!I45</f>
        <v>5.0000000000000044E-3</v>
      </c>
      <c r="J43">
        <f>Rohdaten!J64-Rohdaten!J45</f>
        <v>-1.0000000000000009E-3</v>
      </c>
      <c r="K43">
        <f>Rohdaten!K64-Rohdaten!K45</f>
        <v>1.2000000000000011E-2</v>
      </c>
      <c r="L43">
        <f>Rohdaten!L64-Rohdaten!L45</f>
        <v>-1.0000000000000009E-3</v>
      </c>
      <c r="M43">
        <f>Rohdaten!M64-Rohdaten!M45</f>
        <v>1.5000000000000013E-2</v>
      </c>
      <c r="O43">
        <f>Rohdaten!P64-Rohdaten!P45</f>
        <v>-2.0000000000000018E-3</v>
      </c>
      <c r="P43">
        <f>Rohdaten!Q64-Rohdaten!Q45</f>
        <v>-1.0000000000000009E-3</v>
      </c>
      <c r="Q43">
        <f>Rohdaten!R64-Rohdaten!R45</f>
        <v>-2.0000000000000018E-3</v>
      </c>
      <c r="R43">
        <f>Rohdaten!S64-Rohdaten!S45</f>
        <v>-4.2000000000000037E-2</v>
      </c>
      <c r="S43">
        <f>Rohdaten!T64-Rohdaten!T45</f>
        <v>8.0000000000000071E-3</v>
      </c>
      <c r="T43">
        <f>Rohdaten!U64-Rohdaten!U45</f>
        <v>-2.0000000000000018E-3</v>
      </c>
      <c r="U43">
        <f>Rohdaten!V64-Rohdaten!V45</f>
        <v>-1.0000000000000009E-3</v>
      </c>
      <c r="V43">
        <f>Rohdaten!W64-Rohdaten!W45</f>
        <v>5.0000000000000044E-3</v>
      </c>
      <c r="W43">
        <f>Rohdaten!X64-Rohdaten!X45</f>
        <v>-3.0000000000000027E-3</v>
      </c>
      <c r="X43">
        <f>Rohdaten!Y64-Rohdaten!Y45</f>
        <v>-1.0000000000000009E-3</v>
      </c>
      <c r="Y43">
        <f>Rohdaten!Z64-Rohdaten!Z45</f>
        <v>-2.0000000000000018E-3</v>
      </c>
      <c r="Z43">
        <f>Rohdaten!AA64-Rohdaten!AA45</f>
        <v>2.6000000000000023E-2</v>
      </c>
      <c r="AB43">
        <f>Rohdaten!AD64-Rohdaten!AD45</f>
        <v>3.0000000000000027E-3</v>
      </c>
      <c r="AC43">
        <f>Rohdaten!AE64-Rohdaten!AE45</f>
        <v>-1.0000000000000009E-3</v>
      </c>
      <c r="AD43">
        <f>Rohdaten!AF64-Rohdaten!AF45</f>
        <v>-1.0000000000000009E-3</v>
      </c>
      <c r="AE43">
        <f>Rohdaten!AG64-Rohdaten!AG45</f>
        <v>3.7000000000000033E-2</v>
      </c>
      <c r="AF43">
        <f>Rohdaten!AH64-Rohdaten!AH45</f>
        <v>-1.3000000000000012E-2</v>
      </c>
      <c r="AG43">
        <f>Rohdaten!AI64-Rohdaten!AI45</f>
        <v>-1.0000000000000009E-3</v>
      </c>
      <c r="AH43">
        <f>Rohdaten!AJ64-Rohdaten!AJ45</f>
        <v>5.9999999999999776E-3</v>
      </c>
      <c r="AI43">
        <f>Rohdaten!AK64-Rohdaten!AK45</f>
        <v>2.0000000000000018E-3</v>
      </c>
      <c r="AJ43">
        <f>Rohdaten!AL64-Rohdaten!AL45</f>
        <v>1.0000000000000009E-3</v>
      </c>
      <c r="AK43">
        <f>Rohdaten!AM64-Rohdaten!AM45</f>
        <v>-5.0000000000000044E-3</v>
      </c>
      <c r="AL43">
        <f>Rohdaten!AN64-Rohdaten!AN45</f>
        <v>-2.0000000000000018E-3</v>
      </c>
      <c r="AM43">
        <f>Rohdaten!AO64-Rohdaten!AO45</f>
        <v>3.1000000000000028E-2</v>
      </c>
    </row>
    <row r="44" spans="1:39">
      <c r="B44">
        <f>Rohdaten!B65-Rohdaten!B46</f>
        <v>-1.0000000000000009E-3</v>
      </c>
      <c r="C44">
        <f>Rohdaten!C65-Rohdaten!C46</f>
        <v>-1.0000000000000009E-3</v>
      </c>
      <c r="D44">
        <f>Rohdaten!D65-Rohdaten!D46</f>
        <v>-1.0000000000000009E-3</v>
      </c>
      <c r="E44">
        <f>Rohdaten!E65-Rohdaten!E46</f>
        <v>1.799999999999996E-2</v>
      </c>
      <c r="F44">
        <f>Rohdaten!F65-Rohdaten!F46</f>
        <v>6.0000000000000053E-3</v>
      </c>
      <c r="G44">
        <f>Rohdaten!G65-Rohdaten!G46</f>
        <v>5.0000000000000044E-3</v>
      </c>
      <c r="H44">
        <f>Rohdaten!H65-Rohdaten!H46</f>
        <v>-1.9999999999999879E-3</v>
      </c>
      <c r="I44">
        <f>Rohdaten!I65-Rohdaten!I46</f>
        <v>1.0000000000000009E-3</v>
      </c>
      <c r="J44">
        <f>Rohdaten!J65-Rohdaten!J46</f>
        <v>-1.0000000000000009E-3</v>
      </c>
      <c r="K44">
        <f>Rohdaten!K65-Rohdaten!K46</f>
        <v>4.0000000000000036E-3</v>
      </c>
      <c r="L44">
        <f>Rohdaten!L65-Rohdaten!L46</f>
        <v>1.0000000000000009E-3</v>
      </c>
      <c r="M44">
        <f>Rohdaten!M65-Rohdaten!M46</f>
        <v>6.0000000000000053E-3</v>
      </c>
      <c r="O44">
        <f>Rohdaten!P65-Rohdaten!P46</f>
        <v>-1.0000000000000009E-3</v>
      </c>
      <c r="P44">
        <f>Rohdaten!Q65-Rohdaten!Q46</f>
        <v>-1.0000000000000009E-3</v>
      </c>
      <c r="Q44">
        <f>Rohdaten!R65-Rohdaten!R46</f>
        <v>-1.0000000000000009E-3</v>
      </c>
      <c r="R44">
        <f>Rohdaten!S65-Rohdaten!S46</f>
        <v>1.7000000000000015E-2</v>
      </c>
      <c r="S44">
        <f>Rohdaten!T65-Rohdaten!T46</f>
        <v>3.0000000000000027E-3</v>
      </c>
      <c r="T44">
        <f>Rohdaten!U65-Rohdaten!U46</f>
        <v>-1.9999999999999879E-3</v>
      </c>
      <c r="U44">
        <f>Rohdaten!V65-Rohdaten!V46</f>
        <v>-2.0000000000000018E-3</v>
      </c>
      <c r="V44">
        <f>Rohdaten!W65-Rohdaten!W46</f>
        <v>1.0000000000000009E-3</v>
      </c>
      <c r="W44">
        <f>Rohdaten!X65-Rohdaten!X46</f>
        <v>-3.9999999999999897E-3</v>
      </c>
      <c r="X44">
        <f>Rohdaten!Y65-Rohdaten!Y46</f>
        <v>-2.0000000000000018E-3</v>
      </c>
      <c r="Y44">
        <f>Rohdaten!Z65-Rohdaten!Z46</f>
        <v>-2.0000000000000018E-3</v>
      </c>
      <c r="Z44">
        <f>Rohdaten!AA65-Rohdaten!AA46</f>
        <v>1.4000000000000012E-2</v>
      </c>
      <c r="AB44">
        <f>Rohdaten!AD65-Rohdaten!AD46</f>
        <v>-1.0000000000000009E-3</v>
      </c>
      <c r="AC44">
        <f>Rohdaten!AE65-Rohdaten!AE46</f>
        <v>-1.0000000000000009E-3</v>
      </c>
      <c r="AD44">
        <f>Rohdaten!AF65-Rohdaten!AF46</f>
        <v>-1.0000000000000009E-3</v>
      </c>
      <c r="AE44">
        <f>Rohdaten!AG65-Rohdaten!AG46</f>
        <v>2.2999999999999965E-2</v>
      </c>
      <c r="AF44">
        <f>Rohdaten!AH65-Rohdaten!AH46</f>
        <v>-1.9000000000000017E-2</v>
      </c>
      <c r="AG44">
        <f>Rohdaten!AI65-Rohdaten!AI46</f>
        <v>-1.0000000000000009E-3</v>
      </c>
      <c r="AH44">
        <f>Rohdaten!AJ65-Rohdaten!AJ46</f>
        <v>5.0000000000000044E-3</v>
      </c>
      <c r="AI44">
        <f>Rohdaten!AK65-Rohdaten!AK46</f>
        <v>-1.0000000000000009E-3</v>
      </c>
      <c r="AJ44">
        <f>Rohdaten!AL65-Rohdaten!AL46</f>
        <v>0</v>
      </c>
      <c r="AK44">
        <f>Rohdaten!AM65-Rohdaten!AM46</f>
        <v>-3.0000000000000027E-3</v>
      </c>
      <c r="AL44">
        <f>Rohdaten!AN65-Rohdaten!AN46</f>
        <v>-1.0000000000000009E-3</v>
      </c>
      <c r="AM44">
        <f>Rohdaten!AO65-Rohdaten!AO46</f>
        <v>1.6000000000000014E-2</v>
      </c>
    </row>
    <row r="45" spans="1:39">
      <c r="B45">
        <f>Rohdaten!B66-Rohdaten!B47</f>
        <v>4.6999999999999986E-2</v>
      </c>
      <c r="C45">
        <f>Rohdaten!C66-Rohdaten!C47</f>
        <v>2.0000000000000018E-3</v>
      </c>
      <c r="D45">
        <f>Rohdaten!D66-Rohdaten!D47</f>
        <v>-1.0000000000000009E-3</v>
      </c>
      <c r="E45">
        <f>Rohdaten!E66-Rohdaten!E47</f>
        <v>0</v>
      </c>
      <c r="F45">
        <f>Rohdaten!F66-Rohdaten!F47</f>
        <v>-1.0000000000000009E-3</v>
      </c>
      <c r="G45">
        <f>Rohdaten!G66-Rohdaten!G47</f>
        <v>1.9999999999999463E-3</v>
      </c>
      <c r="H45">
        <f>Rohdaten!H66-Rohdaten!H47</f>
        <v>1.8000000000000016E-2</v>
      </c>
      <c r="I45">
        <f>Rohdaten!I66-Rohdaten!I47</f>
        <v>4.9000000000000044E-2</v>
      </c>
      <c r="J45">
        <f>Rohdaten!J66-Rohdaten!J47</f>
        <v>3.9000000000000007E-2</v>
      </c>
      <c r="K45">
        <f>Rohdaten!K66-Rohdaten!K47</f>
        <v>0.38900000000000001</v>
      </c>
      <c r="L45">
        <f>Rohdaten!L66-Rohdaten!L47</f>
        <v>0</v>
      </c>
      <c r="M45">
        <f>Rohdaten!M66-Rohdaten!M47</f>
        <v>-3.0000000000000027E-3</v>
      </c>
      <c r="O45">
        <f>Rohdaten!P66-Rohdaten!P47</f>
        <v>-3.0000000000000027E-3</v>
      </c>
      <c r="P45">
        <f>Rohdaten!Q66-Rohdaten!Q47</f>
        <v>-1.0000000000000009E-3</v>
      </c>
      <c r="Q45">
        <f>Rohdaten!R66-Rohdaten!R47</f>
        <v>8.9999999999999802E-3</v>
      </c>
      <c r="R45">
        <f>Rohdaten!S66-Rohdaten!S47</f>
        <v>0</v>
      </c>
      <c r="S45">
        <f>Rohdaten!T66-Rohdaten!T47</f>
        <v>1.2000000000000011E-2</v>
      </c>
      <c r="T45">
        <f>Rohdaten!U66-Rohdaten!U47</f>
        <v>3.8000000000000034E-2</v>
      </c>
      <c r="U45">
        <f>Rohdaten!V66-Rohdaten!V47</f>
        <v>-4.0000000000000036E-2</v>
      </c>
      <c r="V45">
        <f>Rohdaten!W66-Rohdaten!W47</f>
        <v>4.0999999999999925E-2</v>
      </c>
      <c r="W45">
        <f>Rohdaten!X66-Rohdaten!X47</f>
        <v>-1.0000000000000009E-3</v>
      </c>
      <c r="X45">
        <f>Rohdaten!Y66-Rohdaten!Y47</f>
        <v>-1.0000000000000009E-3</v>
      </c>
      <c r="Y45">
        <f>Rohdaten!Z66-Rohdaten!Z47</f>
        <v>-1.0000000000000009E-3</v>
      </c>
      <c r="Z45">
        <f>Rohdaten!AA66-Rohdaten!AA47</f>
        <v>-2.0000000000000018E-3</v>
      </c>
      <c r="AB45">
        <f>Rohdaten!AD66-Rohdaten!AD47</f>
        <v>1.0000000000000009E-3</v>
      </c>
      <c r="AC45">
        <f>Rohdaten!AE66-Rohdaten!AE47</f>
        <v>-1.0000000000000009E-3</v>
      </c>
      <c r="AD45">
        <f>Rohdaten!AF66-Rohdaten!AF47</f>
        <v>-1.8999999999999989E-2</v>
      </c>
      <c r="AE45">
        <f>Rohdaten!AG66-Rohdaten!AG47</f>
        <v>2.0999999999999991E-2</v>
      </c>
      <c r="AF45">
        <f>Rohdaten!AH66-Rohdaten!AH47</f>
        <v>-1.0000000000000009E-3</v>
      </c>
      <c r="AG45">
        <f>Rohdaten!AI66-Rohdaten!AI47</f>
        <v>-6.0999999999999999E-2</v>
      </c>
      <c r="AH45">
        <f>Rohdaten!AJ66-Rohdaten!AJ47</f>
        <v>2.6000000000000023E-2</v>
      </c>
      <c r="AI45">
        <f>Rohdaten!AK66-Rohdaten!AK47</f>
        <v>3.5000000000000031E-2</v>
      </c>
      <c r="AJ45">
        <f>Rohdaten!AL66-Rohdaten!AL47</f>
        <v>-8.0000000000000071E-3</v>
      </c>
      <c r="AK45">
        <f>Rohdaten!AM66-Rohdaten!AM47</f>
        <v>0</v>
      </c>
      <c r="AL45">
        <f>Rohdaten!AN66-Rohdaten!AN47</f>
        <v>-1.0000000000000009E-3</v>
      </c>
      <c r="AM45">
        <f>Rohdaten!AO66-Rohdaten!AO47</f>
        <v>-2.0000000000000018E-3</v>
      </c>
    </row>
    <row r="46" spans="1:39">
      <c r="B46">
        <f>Rohdaten!B67-Rohdaten!B48</f>
        <v>1.5000000000000013E-2</v>
      </c>
      <c r="C46">
        <f>Rohdaten!C67-Rohdaten!C48</f>
        <v>0</v>
      </c>
      <c r="D46">
        <f>Rohdaten!D67-Rohdaten!D48</f>
        <v>-2.0000000000000018E-3</v>
      </c>
      <c r="E46">
        <f>Rohdaten!E67-Rohdaten!E48</f>
        <v>-1.9999999999999879E-3</v>
      </c>
      <c r="F46">
        <f>Rohdaten!F67-Rohdaten!F48</f>
        <v>-1.0000000000000009E-3</v>
      </c>
      <c r="G46">
        <f>Rohdaten!G67-Rohdaten!G48</f>
        <v>-1.0000000000000009E-3</v>
      </c>
      <c r="H46">
        <f>Rohdaten!H67-Rohdaten!H48</f>
        <v>1.0000000000000009E-2</v>
      </c>
      <c r="I46">
        <f>Rohdaten!I67-Rohdaten!I48</f>
        <v>1.4000000000000012E-2</v>
      </c>
      <c r="J46">
        <f>Rohdaten!J67-Rohdaten!J48</f>
        <v>-9.9999999999998701E-4</v>
      </c>
      <c r="K46">
        <f>Rohdaten!K67-Rohdaten!K48</f>
        <v>0.11099999999999999</v>
      </c>
      <c r="L46">
        <f>Rohdaten!L67-Rohdaten!L48</f>
        <v>1.0000000000000009E-3</v>
      </c>
      <c r="M46">
        <f>Rohdaten!M67-Rohdaten!M48</f>
        <v>-3.0000000000000027E-3</v>
      </c>
      <c r="O46">
        <f>Rohdaten!P67-Rohdaten!P48</f>
        <v>-2.0000000000000018E-3</v>
      </c>
      <c r="P46">
        <f>Rohdaten!Q67-Rohdaten!Q48</f>
        <v>-1.0000000000000009E-3</v>
      </c>
      <c r="Q46">
        <f>Rohdaten!R67-Rohdaten!R48</f>
        <v>1.0000000000000009E-3</v>
      </c>
      <c r="R46">
        <f>Rohdaten!S67-Rohdaten!S48</f>
        <v>-1.0000000000000009E-3</v>
      </c>
      <c r="S46">
        <f>Rohdaten!T67-Rohdaten!T48</f>
        <v>4.0000000000000036E-3</v>
      </c>
      <c r="T46">
        <f>Rohdaten!U67-Rohdaten!U48</f>
        <v>2.5999999999999995E-2</v>
      </c>
      <c r="U46">
        <f>Rohdaten!V67-Rohdaten!V48</f>
        <v>1.3000000000000012E-2</v>
      </c>
      <c r="V46">
        <f>Rohdaten!W67-Rohdaten!W48</f>
        <v>2.0999999999999963E-2</v>
      </c>
      <c r="W46">
        <f>Rohdaten!X67-Rohdaten!X48</f>
        <v>3.9999999999999897E-3</v>
      </c>
      <c r="X46">
        <f>Rohdaten!Y67-Rohdaten!Y48</f>
        <v>-1.0000000000000009E-3</v>
      </c>
      <c r="Y46">
        <f>Rohdaten!Z67-Rohdaten!Z48</f>
        <v>-1.0000000000000009E-3</v>
      </c>
      <c r="Z46">
        <f>Rohdaten!AA67-Rohdaten!AA48</f>
        <v>-1.0000000000000009E-3</v>
      </c>
      <c r="AB46">
        <f>Rohdaten!AD67-Rohdaten!AD48</f>
        <v>-2.0000000000000018E-3</v>
      </c>
      <c r="AC46">
        <f>Rohdaten!AE67-Rohdaten!AE48</f>
        <v>0</v>
      </c>
      <c r="AD46">
        <f>Rohdaten!AF67-Rohdaten!AF48</f>
        <v>-1.0000000000000009E-2</v>
      </c>
      <c r="AE46">
        <f>Rohdaten!AG67-Rohdaten!AG48</f>
        <v>1.8000000000000002E-2</v>
      </c>
      <c r="AF46">
        <f>Rohdaten!AH67-Rohdaten!AH48</f>
        <v>-2.0000000000000018E-3</v>
      </c>
      <c r="AG46">
        <f>Rohdaten!AI67-Rohdaten!AI48</f>
        <v>2.0000000000000018E-3</v>
      </c>
      <c r="AH46">
        <f>Rohdaten!AJ67-Rohdaten!AJ48</f>
        <v>1.999999999999999E-2</v>
      </c>
      <c r="AI46">
        <f>Rohdaten!AK67-Rohdaten!AK48</f>
        <v>1.7000000000000015E-2</v>
      </c>
      <c r="AJ46">
        <f>Rohdaten!AL67-Rohdaten!AL48</f>
        <v>-3.0000000000000013E-2</v>
      </c>
      <c r="AK46">
        <f>Rohdaten!AM67-Rohdaten!AM48</f>
        <v>0</v>
      </c>
      <c r="AL46">
        <f>Rohdaten!AN67-Rohdaten!AN48</f>
        <v>-1.0000000000000009E-3</v>
      </c>
      <c r="AM46">
        <f>Rohdaten!AO67-Rohdaten!AO48</f>
        <v>-1.0000000000000009E-3</v>
      </c>
    </row>
    <row r="47" spans="1:39">
      <c r="B47">
        <f>Rohdaten!B68-Rohdaten!B49</f>
        <v>5.9999999999999915E-3</v>
      </c>
      <c r="C47">
        <f>Rohdaten!C68-Rohdaten!C49</f>
        <v>0</v>
      </c>
      <c r="D47">
        <f>Rohdaten!D68-Rohdaten!D49</f>
        <v>-1.0000000000000009E-3</v>
      </c>
      <c r="E47">
        <f>Rohdaten!E68-Rohdaten!E49</f>
        <v>-9.000000000000008E-3</v>
      </c>
      <c r="F47">
        <f>Rohdaten!F68-Rohdaten!F49</f>
        <v>3.0000000000000027E-3</v>
      </c>
      <c r="G47">
        <f>Rohdaten!G68-Rohdaten!G49</f>
        <v>-2.0000000000000018E-3</v>
      </c>
      <c r="H47">
        <f>Rohdaten!H68-Rohdaten!H49</f>
        <v>-1.0000000000000009E-3</v>
      </c>
      <c r="I47">
        <f>Rohdaten!I68-Rohdaten!I49</f>
        <v>6.0000000000000053E-3</v>
      </c>
      <c r="J47">
        <f>Rohdaten!J68-Rohdaten!J49</f>
        <v>7.9000000000000015E-2</v>
      </c>
      <c r="K47">
        <f>Rohdaten!K68-Rohdaten!K49</f>
        <v>-1.0000000000000009E-3</v>
      </c>
      <c r="L47">
        <f>Rohdaten!L68-Rohdaten!L49</f>
        <v>-2.0000000000000018E-3</v>
      </c>
      <c r="M47">
        <f>Rohdaten!M68-Rohdaten!M49</f>
        <v>9.000000000000008E-3</v>
      </c>
      <c r="O47">
        <f>Rohdaten!P68-Rohdaten!P49</f>
        <v>6.0000000000000053E-3</v>
      </c>
      <c r="P47">
        <f>Rohdaten!Q68-Rohdaten!Q49</f>
        <v>0</v>
      </c>
      <c r="Q47">
        <f>Rohdaten!R68-Rohdaten!R49</f>
        <v>-1.0000000000000009E-3</v>
      </c>
      <c r="R47">
        <f>Rohdaten!S68-Rohdaten!S49</f>
        <v>-1.0000000000000009E-3</v>
      </c>
      <c r="S47">
        <f>Rohdaten!T68-Rohdaten!T49</f>
        <v>3.0000000000000027E-3</v>
      </c>
      <c r="T47">
        <f>Rohdaten!U68-Rohdaten!U49</f>
        <v>-2.0000000000000018E-3</v>
      </c>
      <c r="U47">
        <f>Rohdaten!V68-Rohdaten!V49</f>
        <v>-2.0000000000000018E-3</v>
      </c>
      <c r="V47">
        <f>Rohdaten!W68-Rohdaten!W49</f>
        <v>-1.0000000000000009E-3</v>
      </c>
      <c r="W47">
        <f>Rohdaten!X68-Rohdaten!X49</f>
        <v>4.7999999999999987E-2</v>
      </c>
      <c r="X47">
        <f>Rohdaten!Y68-Rohdaten!Y49</f>
        <v>-7.0000000000000062E-3</v>
      </c>
      <c r="Y47">
        <f>Rohdaten!Z68-Rohdaten!Z49</f>
        <v>-1.2000000000000011E-2</v>
      </c>
      <c r="Z47">
        <f>Rohdaten!AA68-Rohdaten!AA49</f>
        <v>8.9999999999999525E-3</v>
      </c>
      <c r="AB47">
        <f>Rohdaten!AD68-Rohdaten!AD49</f>
        <v>4.0000000000000036E-3</v>
      </c>
      <c r="AC47">
        <f>Rohdaten!AE68-Rohdaten!AE49</f>
        <v>-1.0000000000000009E-3</v>
      </c>
      <c r="AD47">
        <f>Rohdaten!AF68-Rohdaten!AF49</f>
        <v>3.0000000000000027E-2</v>
      </c>
      <c r="AE47">
        <f>Rohdaten!AG68-Rohdaten!AG49</f>
        <v>2.0000000000000018E-3</v>
      </c>
      <c r="AF47">
        <f>Rohdaten!AH68-Rohdaten!AH49</f>
        <v>3.1000000000000028E-2</v>
      </c>
      <c r="AG47">
        <f>Rohdaten!AI68-Rohdaten!AI49</f>
        <v>-1.0000000000000009E-3</v>
      </c>
      <c r="AH47">
        <f>Rohdaten!AJ68-Rohdaten!AJ49</f>
        <v>-1.0000000000000009E-3</v>
      </c>
      <c r="AI47">
        <f>Rohdaten!AK68-Rohdaten!AK49</f>
        <v>0.25</v>
      </c>
      <c r="AJ47">
        <f>Rohdaten!AL68-Rohdaten!AL49</f>
        <v>6.2E-2</v>
      </c>
      <c r="AK47">
        <f>Rohdaten!AM68-Rohdaten!AM49</f>
        <v>-1.0000000000000009E-3</v>
      </c>
      <c r="AL47">
        <f>Rohdaten!AN68-Rohdaten!AN49</f>
        <v>0</v>
      </c>
      <c r="AM47">
        <f>Rohdaten!AO68-Rohdaten!AO49</f>
        <v>8.0000000000000071E-3</v>
      </c>
    </row>
    <row r="48" spans="1:39">
      <c r="B48">
        <f>Rohdaten!B69-Rohdaten!B50</f>
        <v>4.9999999999999906E-3</v>
      </c>
      <c r="C48">
        <f>Rohdaten!C69-Rohdaten!C50</f>
        <v>-1.0000000000000009E-3</v>
      </c>
      <c r="D48">
        <f>Rohdaten!D69-Rohdaten!D50</f>
        <v>-2.0000000000000018E-3</v>
      </c>
      <c r="E48">
        <f>Rohdaten!E69-Rohdaten!E50</f>
        <v>-6.0000000000000053E-3</v>
      </c>
      <c r="F48">
        <f>Rohdaten!F69-Rohdaten!F50</f>
        <v>-1.0000000000000009E-3</v>
      </c>
      <c r="G48">
        <f>Rohdaten!G69-Rohdaten!G50</f>
        <v>-2.0000000000000018E-3</v>
      </c>
      <c r="H48">
        <f>Rohdaten!H69-Rohdaten!H50</f>
        <v>-2.0000000000000018E-3</v>
      </c>
      <c r="I48">
        <f>Rohdaten!I69-Rohdaten!I50</f>
        <v>-1.0000000000000009E-3</v>
      </c>
      <c r="J48">
        <f>Rohdaten!J69-Rohdaten!J50</f>
        <v>1.1999999999999983E-2</v>
      </c>
      <c r="K48">
        <f>Rohdaten!K69-Rohdaten!K50</f>
        <v>-1.0000000000000009E-3</v>
      </c>
      <c r="L48">
        <f>Rohdaten!L69-Rohdaten!L50</f>
        <v>-2.0000000000000018E-3</v>
      </c>
      <c r="M48">
        <f>Rohdaten!M69-Rohdaten!M50</f>
        <v>0</v>
      </c>
      <c r="O48">
        <f>Rohdaten!P69-Rohdaten!P50</f>
        <v>4.0000000000000036E-3</v>
      </c>
      <c r="P48">
        <f>Rohdaten!Q69-Rohdaten!Q50</f>
        <v>0</v>
      </c>
      <c r="Q48">
        <f>Rohdaten!R69-Rohdaten!R50</f>
        <v>-2.0000000000000018E-3</v>
      </c>
      <c r="R48">
        <f>Rohdaten!S69-Rohdaten!S50</f>
        <v>-1.0000000000000009E-3</v>
      </c>
      <c r="S48">
        <f>Rohdaten!T69-Rohdaten!T50</f>
        <v>0</v>
      </c>
      <c r="T48">
        <f>Rohdaten!U69-Rohdaten!U50</f>
        <v>-2.0000000000000018E-3</v>
      </c>
      <c r="U48">
        <f>Rohdaten!V69-Rohdaten!V50</f>
        <v>-2.0000000000000018E-3</v>
      </c>
      <c r="V48">
        <f>Rohdaten!W69-Rohdaten!W50</f>
        <v>-2.9999999999999888E-3</v>
      </c>
      <c r="W48">
        <f>Rohdaten!X69-Rohdaten!X50</f>
        <v>7.9999999999999793E-3</v>
      </c>
      <c r="X48">
        <f>Rohdaten!Y69-Rohdaten!Y50</f>
        <v>-9.000000000000008E-3</v>
      </c>
      <c r="Y48">
        <f>Rohdaten!Z69-Rohdaten!Z50</f>
        <v>-7.0000000000000062E-3</v>
      </c>
      <c r="Z48">
        <f>Rohdaten!AA69-Rohdaten!AA50</f>
        <v>0</v>
      </c>
      <c r="AB48">
        <f>Rohdaten!AD69-Rohdaten!AD50</f>
        <v>2.0000000000000018E-3</v>
      </c>
      <c r="AC48">
        <f>Rohdaten!AE69-Rohdaten!AE50</f>
        <v>-1.0000000000000009E-3</v>
      </c>
      <c r="AD48">
        <f>Rohdaten!AF69-Rohdaten!AF50</f>
        <v>0</v>
      </c>
      <c r="AE48">
        <f>Rohdaten!AG69-Rohdaten!AG50</f>
        <v>1.0000000000000009E-3</v>
      </c>
      <c r="AF48">
        <f>Rohdaten!AH69-Rohdaten!AH50</f>
        <v>0</v>
      </c>
      <c r="AG48">
        <f>Rohdaten!AI69-Rohdaten!AI50</f>
        <v>-2.0000000000000018E-3</v>
      </c>
      <c r="AH48">
        <f>Rohdaten!AJ69-Rohdaten!AJ50</f>
        <v>-1.0000000000000009E-3</v>
      </c>
      <c r="AI48">
        <f>Rohdaten!AK69-Rohdaten!AK50</f>
        <v>4.8000000000000015E-2</v>
      </c>
      <c r="AJ48">
        <f>Rohdaten!AL69-Rohdaten!AL50</f>
        <v>1.2000000000000011E-2</v>
      </c>
      <c r="AK48">
        <f>Rohdaten!AM69-Rohdaten!AM50</f>
        <v>0</v>
      </c>
      <c r="AL48">
        <f>Rohdaten!AN69-Rohdaten!AN50</f>
        <v>2.0000000000000018E-3</v>
      </c>
      <c r="AM48">
        <f>Rohdaten!AO69-Rohdaten!AO50</f>
        <v>0</v>
      </c>
    </row>
    <row r="49" spans="1:39">
      <c r="B49">
        <f>Rohdaten!B70-Rohdaten!B51</f>
        <v>-2.0000000000000018E-3</v>
      </c>
      <c r="C49">
        <f>Rohdaten!C70-Rohdaten!C51</f>
        <v>0</v>
      </c>
      <c r="D49">
        <f>Rohdaten!D70-Rohdaten!D51</f>
        <v>1.0000000000000009E-3</v>
      </c>
      <c r="E49">
        <f>Rohdaten!E70-Rohdaten!E51</f>
        <v>-2.0000000000000018E-3</v>
      </c>
      <c r="F49">
        <f>Rohdaten!F70-Rohdaten!F51</f>
        <v>-2.0000000000000018E-2</v>
      </c>
      <c r="G49">
        <f>Rohdaten!G70-Rohdaten!G51</f>
        <v>0</v>
      </c>
      <c r="H49">
        <f>Rohdaten!H70-Rohdaten!H51</f>
        <v>0</v>
      </c>
      <c r="I49">
        <f>Rohdaten!I70-Rohdaten!I51</f>
        <v>-3.0000000000000027E-3</v>
      </c>
      <c r="J49">
        <f>Rohdaten!J70-Rohdaten!J51</f>
        <v>4.0000000000000036E-3</v>
      </c>
      <c r="K49">
        <f>Rohdaten!K70-Rohdaten!K51</f>
        <v>-1.0000000000000009E-3</v>
      </c>
      <c r="L49">
        <f>Rohdaten!L70-Rohdaten!L51</f>
        <v>0</v>
      </c>
      <c r="M49">
        <f>Rohdaten!M70-Rohdaten!M51</f>
        <v>0.15799999999999992</v>
      </c>
      <c r="O49">
        <f>Rohdaten!P70-Rohdaten!P51</f>
        <v>2.6999999999999968E-2</v>
      </c>
      <c r="P49">
        <f>Rohdaten!Q70-Rohdaten!Q51</f>
        <v>-9.9999999999997313E-4</v>
      </c>
      <c r="Q49">
        <f>Rohdaten!R70-Rohdaten!R51</f>
        <v>-2.0000000000000018E-3</v>
      </c>
      <c r="R49">
        <f>Rohdaten!S70-Rohdaten!S51</f>
        <v>-2.0000000000000018E-3</v>
      </c>
      <c r="S49">
        <f>Rohdaten!T70-Rohdaten!T51</f>
        <v>1.3000000000000012E-2</v>
      </c>
      <c r="T49">
        <f>Rohdaten!U70-Rohdaten!U51</f>
        <v>2.2999999999999993E-2</v>
      </c>
      <c r="U49">
        <f>Rohdaten!V70-Rohdaten!V51</f>
        <v>-2.0000000000000018E-3</v>
      </c>
      <c r="V49">
        <f>Rohdaten!W70-Rohdaten!W51</f>
        <v>-2.0000000000000018E-3</v>
      </c>
      <c r="W49">
        <f>Rohdaten!X70-Rohdaten!X51</f>
        <v>5.0000000000000044E-3</v>
      </c>
      <c r="X49">
        <f>Rohdaten!Y70-Rohdaten!Y51</f>
        <v>-2.0000000000000018E-3</v>
      </c>
      <c r="Y49">
        <f>Rohdaten!Z70-Rohdaten!Z51</f>
        <v>-2.0000000000000018E-3</v>
      </c>
      <c r="Z49">
        <f>Rohdaten!AA70-Rohdaten!AA51</f>
        <v>-1.999999999999974E-3</v>
      </c>
      <c r="AB49">
        <f>Rohdaten!AD70-Rohdaten!AD51</f>
        <v>-9.9999999999997313E-4</v>
      </c>
      <c r="AC49">
        <f>Rohdaten!AE70-Rohdaten!AE51</f>
        <v>-1.0000000000000009E-3</v>
      </c>
      <c r="AD49">
        <f>Rohdaten!AF70-Rohdaten!AF51</f>
        <v>6.2999999999999973E-2</v>
      </c>
      <c r="AE49">
        <f>Rohdaten!AG70-Rohdaten!AG51</f>
        <v>2.0000000000000018E-3</v>
      </c>
      <c r="AF49">
        <f>Rohdaten!AH70-Rohdaten!AH51</f>
        <v>1.0000000000000009E-3</v>
      </c>
      <c r="AG49">
        <f>Rohdaten!AI70-Rohdaten!AI51</f>
        <v>4.0000000000000036E-3</v>
      </c>
      <c r="AH49">
        <f>Rohdaten!AJ70-Rohdaten!AJ51</f>
        <v>-1.0000000000000009E-3</v>
      </c>
      <c r="AI49">
        <f>Rohdaten!AK70-Rohdaten!AK51</f>
        <v>-1.0000000000000009E-3</v>
      </c>
      <c r="AJ49">
        <f>Rohdaten!AL70-Rohdaten!AL51</f>
        <v>2.0000000000000018E-3</v>
      </c>
      <c r="AK49">
        <f>Rohdaten!AM70-Rohdaten!AM51</f>
        <v>4.9000000000000044E-2</v>
      </c>
      <c r="AL49">
        <f>Rohdaten!AN70-Rohdaten!AN51</f>
        <v>-9.9999999999997313E-4</v>
      </c>
      <c r="AM49">
        <f>Rohdaten!AO70-Rohdaten!AO51</f>
        <v>-2.0000000000000018E-3</v>
      </c>
    </row>
    <row r="50" spans="1:39">
      <c r="B50">
        <f>Rohdaten!B71-Rohdaten!B52</f>
        <v>-1.9999999999999879E-3</v>
      </c>
      <c r="C50">
        <f>Rohdaten!C71-Rohdaten!C52</f>
        <v>-1.0000000000000009E-3</v>
      </c>
      <c r="D50">
        <f>Rohdaten!D71-Rohdaten!D52</f>
        <v>1.0000000000000009E-3</v>
      </c>
      <c r="E50">
        <f>Rohdaten!E71-Rohdaten!E52</f>
        <v>-3.0000000000000027E-3</v>
      </c>
      <c r="F50">
        <f>Rohdaten!F71-Rohdaten!F52</f>
        <v>-3.4000000000000002E-2</v>
      </c>
      <c r="G50">
        <f>Rohdaten!G71-Rohdaten!G52</f>
        <v>0</v>
      </c>
      <c r="H50">
        <f>Rohdaten!H71-Rohdaten!H52</f>
        <v>1.0000000000000009E-3</v>
      </c>
      <c r="I50">
        <f>Rohdaten!I71-Rohdaten!I52</f>
        <v>-3.0000000000000027E-3</v>
      </c>
      <c r="J50">
        <f>Rohdaten!J71-Rohdaten!J52</f>
        <v>0</v>
      </c>
      <c r="K50">
        <f>Rohdaten!K71-Rohdaten!K52</f>
        <v>-1.0000000000000009E-3</v>
      </c>
      <c r="L50">
        <f>Rohdaten!L71-Rohdaten!L52</f>
        <v>-2.0000000000000018E-3</v>
      </c>
      <c r="M50">
        <f>Rohdaten!M71-Rohdaten!M52</f>
        <v>2.3999999999999994E-2</v>
      </c>
      <c r="O50">
        <f>Rohdaten!P71-Rohdaten!P52</f>
        <v>8.0000000000000071E-3</v>
      </c>
      <c r="P50">
        <f>Rohdaten!Q71-Rohdaten!Q52</f>
        <v>0</v>
      </c>
      <c r="Q50">
        <f>Rohdaten!R71-Rohdaten!R52</f>
        <v>-2.0000000000000018E-3</v>
      </c>
      <c r="R50">
        <f>Rohdaten!S71-Rohdaten!S52</f>
        <v>-4.0000000000000036E-3</v>
      </c>
      <c r="S50">
        <f>Rohdaten!T71-Rohdaten!T52</f>
        <v>-1.0000000000000009E-3</v>
      </c>
      <c r="T50">
        <f>Rohdaten!U71-Rohdaten!U52</f>
        <v>1.8000000000000002E-2</v>
      </c>
      <c r="U50">
        <f>Rohdaten!V71-Rohdaten!V52</f>
        <v>-2.0000000000000018E-3</v>
      </c>
      <c r="V50">
        <f>Rohdaten!W71-Rohdaten!W52</f>
        <v>-3.0000000000000027E-3</v>
      </c>
      <c r="W50">
        <f>Rohdaten!X71-Rohdaten!X52</f>
        <v>1.0000000000000009E-3</v>
      </c>
      <c r="X50">
        <f>Rohdaten!Y71-Rohdaten!Y52</f>
        <v>-2.0000000000000018E-3</v>
      </c>
      <c r="Y50">
        <f>Rohdaten!Z71-Rohdaten!Z52</f>
        <v>-3.0000000000000027E-3</v>
      </c>
      <c r="Z50">
        <f>Rohdaten!AA71-Rohdaten!AA52</f>
        <v>-2.0000000000000018E-3</v>
      </c>
      <c r="AB50">
        <f>Rohdaten!AD71-Rohdaten!AD52</f>
        <v>-2.0000000000000018E-3</v>
      </c>
      <c r="AC50">
        <f>Rohdaten!AE71-Rohdaten!AE52</f>
        <v>0</v>
      </c>
      <c r="AD50">
        <f>Rohdaten!AF71-Rohdaten!AF52</f>
        <v>1.6999999999999987E-2</v>
      </c>
      <c r="AE50">
        <f>Rohdaten!AG71-Rohdaten!AG52</f>
        <v>1.0000000000000009E-3</v>
      </c>
      <c r="AF50">
        <f>Rohdaten!AH71-Rohdaten!AH52</f>
        <v>-1.0000000000000009E-3</v>
      </c>
      <c r="AG50">
        <f>Rohdaten!AI71-Rohdaten!AI52</f>
        <v>-1.0000000000000009E-3</v>
      </c>
      <c r="AH50">
        <f>Rohdaten!AJ71-Rohdaten!AJ52</f>
        <v>-1.0000000000000009E-3</v>
      </c>
      <c r="AI50">
        <f>Rohdaten!AK71-Rohdaten!AK52</f>
        <v>-1.0000000000000009E-3</v>
      </c>
      <c r="AJ50">
        <f>Rohdaten!AL71-Rohdaten!AL52</f>
        <v>-1.0000000000000009E-3</v>
      </c>
      <c r="AK50">
        <f>Rohdaten!AM71-Rohdaten!AM52</f>
        <v>8.0000000000000071E-3</v>
      </c>
      <c r="AL50">
        <f>Rohdaten!AN71-Rohdaten!AN52</f>
        <v>-1.0000000000000009E-3</v>
      </c>
      <c r="AM50">
        <f>Rohdaten!AO71-Rohdaten!AO52</f>
        <v>-1.0000000000000009E-3</v>
      </c>
    </row>
    <row r="51" spans="1:39">
      <c r="B51">
        <f>Rohdaten!B72-Rohdaten!B53</f>
        <v>1.6000000000000014E-2</v>
      </c>
      <c r="C51">
        <f>Rohdaten!C72-Rohdaten!C53</f>
        <v>4.500000000000004E-2</v>
      </c>
      <c r="D51">
        <f>Rohdaten!D72-Rohdaten!D53</f>
        <v>4.2999999999999983E-2</v>
      </c>
      <c r="E51">
        <f>Rohdaten!E72-Rohdaten!E53</f>
        <v>1.0000000000000009E-3</v>
      </c>
      <c r="F51">
        <f>Rohdaten!F72-Rohdaten!F53</f>
        <v>-2.0000000000000018E-3</v>
      </c>
      <c r="G51">
        <f>Rohdaten!G72-Rohdaten!G53</f>
        <v>-1.0000000000000009E-3</v>
      </c>
      <c r="H51">
        <f>Rohdaten!H72-Rohdaten!H53</f>
        <v>-1.0000000000000009E-3</v>
      </c>
      <c r="I51">
        <f>Rohdaten!I72-Rohdaten!I53</f>
        <v>0</v>
      </c>
      <c r="J51">
        <f>Rohdaten!J72-Rohdaten!J53</f>
        <v>3.4000000000000002E-2</v>
      </c>
      <c r="K51">
        <f>Rohdaten!K72-Rohdaten!K53</f>
        <v>1.8000000000000016E-2</v>
      </c>
      <c r="L51">
        <f>Rohdaten!L72-Rohdaten!L53</f>
        <v>0</v>
      </c>
      <c r="M51">
        <f>Rohdaten!M72-Rohdaten!M53</f>
        <v>0</v>
      </c>
      <c r="O51">
        <f>Rohdaten!P72-Rohdaten!P53</f>
        <v>-9.9999999999997313E-4</v>
      </c>
      <c r="P51">
        <f>Rohdaten!Q72-Rohdaten!Q53</f>
        <v>3.0000000000000027E-3</v>
      </c>
      <c r="Q51">
        <f>Rohdaten!R72-Rohdaten!R53</f>
        <v>-2.0000000000000018E-3</v>
      </c>
      <c r="R51">
        <f>Rohdaten!S72-Rohdaten!S53</f>
        <v>1.0000000000000009E-3</v>
      </c>
      <c r="S51">
        <f>Rohdaten!T72-Rohdaten!T53</f>
        <v>-1.0000000000000009E-3</v>
      </c>
      <c r="T51">
        <f>Rohdaten!U72-Rohdaten!U53</f>
        <v>-1.0000000000000009E-3</v>
      </c>
      <c r="U51">
        <f>Rohdaten!V72-Rohdaten!V53</f>
        <v>-1.0000000000000009E-3</v>
      </c>
      <c r="V51">
        <f>Rohdaten!W72-Rohdaten!W53</f>
        <v>8.0000000000000071E-3</v>
      </c>
      <c r="W51">
        <f>Rohdaten!X72-Rohdaten!X53</f>
        <v>2.7000000000000024E-2</v>
      </c>
      <c r="X51">
        <f>Rohdaten!Y72-Rohdaten!Y53</f>
        <v>3.8999999999999979E-2</v>
      </c>
      <c r="Y51">
        <f>Rohdaten!Z72-Rohdaten!Z53</f>
        <v>-2.0000000000000018E-3</v>
      </c>
      <c r="Z51">
        <f>Rohdaten!AA72-Rohdaten!AA53</f>
        <v>-1.0000000000000009E-3</v>
      </c>
      <c r="AB51">
        <f>Rohdaten!AD72-Rohdaten!AD53</f>
        <v>0</v>
      </c>
      <c r="AC51">
        <f>Rohdaten!AE72-Rohdaten!AE53</f>
        <v>-4.9999999999999767E-3</v>
      </c>
      <c r="AD51">
        <f>Rohdaten!AF72-Rohdaten!AF53</f>
        <v>-1.0000000000000009E-3</v>
      </c>
      <c r="AE51">
        <f>Rohdaten!AG72-Rohdaten!AG53</f>
        <v>-8.0000000000000071E-3</v>
      </c>
      <c r="AF51">
        <f>Rohdaten!AH72-Rohdaten!AH53</f>
        <v>2.6999999999999996E-2</v>
      </c>
      <c r="AG51">
        <f>Rohdaten!AI72-Rohdaten!AI53</f>
        <v>-1.0000000000000009E-3</v>
      </c>
      <c r="AH51">
        <f>Rohdaten!AJ72-Rohdaten!AJ53</f>
        <v>-1.999999999999974E-3</v>
      </c>
      <c r="AI51">
        <f>Rohdaten!AK72-Rohdaten!AK53</f>
        <v>-1.0999999999999982E-2</v>
      </c>
      <c r="AJ51">
        <f>Rohdaten!AL72-Rohdaten!AL53</f>
        <v>6.0000000000000053E-3</v>
      </c>
      <c r="AK51">
        <f>Rohdaten!AM72-Rohdaten!AM53</f>
        <v>-1.0000000000000009E-2</v>
      </c>
      <c r="AL51">
        <f>Rohdaten!AN72-Rohdaten!AN53</f>
        <v>-2.0000000000000018E-3</v>
      </c>
      <c r="AM51">
        <f>Rohdaten!AO72-Rohdaten!AO53</f>
        <v>-5.0000000000000044E-3</v>
      </c>
    </row>
    <row r="52" spans="1:39">
      <c r="B52">
        <f>Rohdaten!B73-Rohdaten!B54</f>
        <v>5.0000000000000044E-3</v>
      </c>
      <c r="C52">
        <f>Rohdaten!C73-Rohdaten!C54</f>
        <v>1.7000000000000015E-2</v>
      </c>
      <c r="D52">
        <f>Rohdaten!D73-Rohdaten!D54</f>
        <v>5.0000000000000044E-3</v>
      </c>
      <c r="E52">
        <f>Rohdaten!E73-Rohdaten!E54</f>
        <v>0</v>
      </c>
      <c r="F52">
        <f>Rohdaten!F73-Rohdaten!F54</f>
        <v>-2.9999999999999888E-3</v>
      </c>
      <c r="G52">
        <f>Rohdaten!G73-Rohdaten!G54</f>
        <v>-1.0000000000000009E-3</v>
      </c>
      <c r="H52">
        <f>Rohdaten!H73-Rohdaten!H54</f>
        <v>-2.0000000000000018E-3</v>
      </c>
      <c r="I52">
        <f>Rohdaten!I73-Rohdaten!I54</f>
        <v>-1.0000000000000009E-3</v>
      </c>
      <c r="J52">
        <f>Rohdaten!J73-Rohdaten!J54</f>
        <v>1.1999999999999997E-2</v>
      </c>
      <c r="K52">
        <f>Rohdaten!K73-Rohdaten!K54</f>
        <v>4.0000000000000036E-3</v>
      </c>
      <c r="L52">
        <f>Rohdaten!L73-Rohdaten!L54</f>
        <v>0</v>
      </c>
      <c r="M52">
        <f>Rohdaten!M73-Rohdaten!M54</f>
        <v>0</v>
      </c>
      <c r="O52">
        <f>Rohdaten!P73-Rohdaten!P54</f>
        <v>-1.0000000000000009E-3</v>
      </c>
      <c r="P52">
        <f>Rohdaten!Q73-Rohdaten!Q54</f>
        <v>-1.0000000000000009E-3</v>
      </c>
      <c r="Q52">
        <f>Rohdaten!R73-Rohdaten!R54</f>
        <v>-2.0000000000000018E-3</v>
      </c>
      <c r="R52">
        <f>Rohdaten!S73-Rohdaten!S54</f>
        <v>-1.0000000000000009E-3</v>
      </c>
      <c r="S52">
        <f>Rohdaten!T73-Rohdaten!T54</f>
        <v>-1.0000000000000009E-3</v>
      </c>
      <c r="T52">
        <f>Rohdaten!U73-Rohdaten!U54</f>
        <v>-2.0000000000000018E-3</v>
      </c>
      <c r="U52">
        <f>Rohdaten!V73-Rohdaten!V54</f>
        <v>-2.0000000000000018E-3</v>
      </c>
      <c r="V52">
        <f>Rohdaten!W73-Rohdaten!W54</f>
        <v>2.0000000000000018E-3</v>
      </c>
      <c r="W52">
        <f>Rohdaten!X73-Rohdaten!X54</f>
        <v>9.000000000000008E-3</v>
      </c>
      <c r="X52">
        <f>Rohdaten!Y73-Rohdaten!Y54</f>
        <v>1.4000000000000012E-2</v>
      </c>
      <c r="Y52">
        <f>Rohdaten!Z73-Rohdaten!Z54</f>
        <v>-2.0000000000000018E-3</v>
      </c>
      <c r="Z52">
        <f>Rohdaten!AA73-Rohdaten!AA54</f>
        <v>-1.0000000000000009E-3</v>
      </c>
      <c r="AB52">
        <f>Rohdaten!AD73-Rohdaten!AD54</f>
        <v>0</v>
      </c>
      <c r="AC52">
        <f>Rohdaten!AE73-Rohdaten!AE54</f>
        <v>-3.0000000000000027E-3</v>
      </c>
      <c r="AD52">
        <f>Rohdaten!AF73-Rohdaten!AF54</f>
        <v>-1.0000000000000009E-3</v>
      </c>
      <c r="AE52">
        <f>Rohdaten!AG73-Rohdaten!AG54</f>
        <v>-5.0000000000000044E-3</v>
      </c>
      <c r="AF52">
        <f>Rohdaten!AH73-Rohdaten!AH54</f>
        <v>1.2000000000000011E-2</v>
      </c>
      <c r="AG52">
        <f>Rohdaten!AI73-Rohdaten!AI54</f>
        <v>-1.0000000000000009E-3</v>
      </c>
      <c r="AH52">
        <f>Rohdaten!AJ73-Rohdaten!AJ54</f>
        <v>-1.0000000000000009E-3</v>
      </c>
      <c r="AI52">
        <f>Rohdaten!AK73-Rohdaten!AK54</f>
        <v>-6.0000000000000053E-3</v>
      </c>
      <c r="AJ52">
        <f>Rohdaten!AL73-Rohdaten!AL54</f>
        <v>0</v>
      </c>
      <c r="AK52">
        <f>Rohdaten!AM73-Rohdaten!AM54</f>
        <v>-7.0000000000000062E-3</v>
      </c>
      <c r="AL52">
        <f>Rohdaten!AN73-Rohdaten!AN54</f>
        <v>0</v>
      </c>
      <c r="AM52">
        <f>Rohdaten!AO73-Rohdaten!AO54</f>
        <v>-2.0000000000000018E-3</v>
      </c>
    </row>
    <row r="53" spans="1:39">
      <c r="B53">
        <f>Rohdaten!B74-Rohdaten!B55</f>
        <v>2.6999999999999968E-2</v>
      </c>
      <c r="C53">
        <f>Rohdaten!C74-Rohdaten!C55</f>
        <v>1.0000000000000009E-3</v>
      </c>
      <c r="D53">
        <f>Rohdaten!D74-Rohdaten!D55</f>
        <v>-1.0000000000000009E-3</v>
      </c>
      <c r="E53">
        <f>Rohdaten!E74-Rohdaten!E55</f>
        <v>2.0000000000000018E-3</v>
      </c>
      <c r="F53">
        <f>Rohdaten!F74-Rohdaten!F55</f>
        <v>-1.0000000000000009E-3</v>
      </c>
      <c r="G53">
        <f>Rohdaten!G74-Rohdaten!G55</f>
        <v>-1.0000000000000009E-3</v>
      </c>
      <c r="H53">
        <f>Rohdaten!H74-Rohdaten!H55</f>
        <v>3.0000000000000027E-3</v>
      </c>
      <c r="I53">
        <f>Rohdaten!I74-Rohdaten!I55</f>
        <v>0</v>
      </c>
      <c r="J53">
        <f>Rohdaten!J74-Rohdaten!J55</f>
        <v>5.0000000000001155E-3</v>
      </c>
      <c r="K53">
        <f>Rohdaten!K74-Rohdaten!K55</f>
        <v>-1.0000000000000009E-3</v>
      </c>
      <c r="L53">
        <f>Rohdaten!L74-Rohdaten!L55</f>
        <v>0</v>
      </c>
      <c r="M53">
        <f>Rohdaten!M74-Rohdaten!M55</f>
        <v>-1.0000000000000009E-3</v>
      </c>
      <c r="O53">
        <f>Rohdaten!P74-Rohdaten!P55</f>
        <v>2.0000000000000018E-3</v>
      </c>
      <c r="P53">
        <f>Rohdaten!Q74-Rohdaten!Q55</f>
        <v>0</v>
      </c>
      <c r="Q53">
        <f>Rohdaten!R74-Rohdaten!R55</f>
        <v>1.2000000000000011E-2</v>
      </c>
      <c r="R53">
        <f>Rohdaten!S74-Rohdaten!S55</f>
        <v>-2.0000000000000018E-3</v>
      </c>
      <c r="S53">
        <f>Rohdaten!T74-Rohdaten!T55</f>
        <v>-2.0000000000000018E-3</v>
      </c>
      <c r="T53">
        <f>Rohdaten!U74-Rohdaten!U55</f>
        <v>-1.0000000000000009E-3</v>
      </c>
      <c r="U53">
        <f>Rohdaten!V74-Rohdaten!V55</f>
        <v>6.0000000000000053E-3</v>
      </c>
      <c r="V53">
        <f>Rohdaten!W74-Rohdaten!W55</f>
        <v>-2.0000000000000018E-3</v>
      </c>
      <c r="W53">
        <f>Rohdaten!X74-Rohdaten!X55</f>
        <v>5.0000000000001155E-3</v>
      </c>
      <c r="X53">
        <f>Rohdaten!Y74-Rohdaten!Y55</f>
        <v>3.0000000000000027E-3</v>
      </c>
      <c r="Y53">
        <f>Rohdaten!Z74-Rohdaten!Z55</f>
        <v>-1.0000000000000009E-3</v>
      </c>
      <c r="Z53">
        <f>Rohdaten!AA74-Rohdaten!AA55</f>
        <v>-2.0000000000000018E-3</v>
      </c>
      <c r="AB53">
        <f>Rohdaten!AD74-Rohdaten!AD55</f>
        <v>4.0000000000000036E-3</v>
      </c>
      <c r="AC53">
        <f>Rohdaten!AE74-Rohdaten!AE55</f>
        <v>-1.0000000000000009E-3</v>
      </c>
      <c r="AD53">
        <f>Rohdaten!AF74-Rohdaten!AF55</f>
        <v>0.47900000000000009</v>
      </c>
      <c r="AE53">
        <f>Rohdaten!AG74-Rohdaten!AG55</f>
        <v>1.0000000000000009E-3</v>
      </c>
      <c r="AF53">
        <f>Rohdaten!AH74-Rohdaten!AH55</f>
        <v>-1.999999999999974E-3</v>
      </c>
      <c r="AG53">
        <f>Rohdaten!AI74-Rohdaten!AI55</f>
        <v>-2.0000000000000018E-3</v>
      </c>
      <c r="AH53">
        <f>Rohdaten!AJ74-Rohdaten!AJ55</f>
        <v>-1.0000000000000009E-3</v>
      </c>
      <c r="AI53">
        <f>Rohdaten!AK74-Rohdaten!AK55</f>
        <v>-1.999999999999999E-2</v>
      </c>
      <c r="AJ53">
        <f>Rohdaten!AL74-Rohdaten!AL55</f>
        <v>2.0000000000000018E-3</v>
      </c>
      <c r="AK53">
        <f>Rohdaten!AM74-Rohdaten!AM55</f>
        <v>-3.9999999999999758E-3</v>
      </c>
      <c r="AL53">
        <f>Rohdaten!AN74-Rohdaten!AN55</f>
        <v>-1.0000000000000009E-3</v>
      </c>
      <c r="AM53">
        <f>Rohdaten!AO74-Rohdaten!AO55</f>
        <v>-3.0000000000000027E-3</v>
      </c>
    </row>
    <row r="54" spans="1:39">
      <c r="B54">
        <f>Rohdaten!B75-Rohdaten!B56</f>
        <v>8.0000000000000071E-3</v>
      </c>
      <c r="C54">
        <f>Rohdaten!C75-Rohdaten!C56</f>
        <v>0</v>
      </c>
      <c r="D54">
        <f>Rohdaten!D75-Rohdaten!D56</f>
        <v>-1.0000000000000009E-3</v>
      </c>
      <c r="E54">
        <f>Rohdaten!E75-Rohdaten!E56</f>
        <v>1.0000000000000009E-3</v>
      </c>
      <c r="F54">
        <f>Rohdaten!F75-Rohdaten!F56</f>
        <v>0</v>
      </c>
      <c r="G54">
        <f>Rohdaten!G75-Rohdaten!G56</f>
        <v>-1.0000000000000009E-3</v>
      </c>
      <c r="H54">
        <f>Rohdaten!H75-Rohdaten!H56</f>
        <v>1.0000000000000009E-3</v>
      </c>
      <c r="I54">
        <f>Rohdaten!I75-Rohdaten!I56</f>
        <v>0</v>
      </c>
      <c r="J54">
        <f>Rohdaten!J75-Rohdaten!J56</f>
        <v>-2.0000000000000018E-3</v>
      </c>
      <c r="K54">
        <f>Rohdaten!K75-Rohdaten!K56</f>
        <v>-2.0000000000000018E-3</v>
      </c>
      <c r="L54">
        <f>Rohdaten!L75-Rohdaten!L56</f>
        <v>-1.0000000000000009E-3</v>
      </c>
      <c r="M54">
        <f>Rohdaten!M75-Rohdaten!M56</f>
        <v>-1.0000000000000009E-3</v>
      </c>
      <c r="O54">
        <f>Rohdaten!P75-Rohdaten!P56</f>
        <v>0</v>
      </c>
      <c r="P54">
        <f>Rohdaten!Q75-Rohdaten!Q56</f>
        <v>-1.0000000000000009E-3</v>
      </c>
      <c r="Q54">
        <f>Rohdaten!R75-Rohdaten!R56</f>
        <v>2.0000000000000018E-3</v>
      </c>
      <c r="R54">
        <f>Rohdaten!S75-Rohdaten!S56</f>
        <v>-2.0000000000000018E-3</v>
      </c>
      <c r="S54">
        <f>Rohdaten!T75-Rohdaten!T56</f>
        <v>-2.0000000000000018E-3</v>
      </c>
      <c r="T54">
        <f>Rohdaten!U75-Rohdaten!U56</f>
        <v>-2.0000000000000018E-3</v>
      </c>
      <c r="U54">
        <f>Rohdaten!V75-Rohdaten!V56</f>
        <v>2.0000000000000018E-3</v>
      </c>
      <c r="V54">
        <f>Rohdaten!W75-Rohdaten!W56</f>
        <v>-3.0000000000000027E-3</v>
      </c>
      <c r="W54">
        <f>Rohdaten!X75-Rohdaten!X56</f>
        <v>-1.0000000000000009E-3</v>
      </c>
      <c r="X54">
        <f>Rohdaten!Y75-Rohdaten!Y56</f>
        <v>-1.0000000000000009E-3</v>
      </c>
      <c r="Y54">
        <f>Rohdaten!Z75-Rohdaten!Z56</f>
        <v>-2.0000000000000018E-3</v>
      </c>
      <c r="Z54">
        <f>Rohdaten!AA75-Rohdaten!AA56</f>
        <v>-2.0000000000000018E-3</v>
      </c>
      <c r="AB54">
        <f>Rohdaten!AD75-Rohdaten!AD56</f>
        <v>1.0000000000000009E-3</v>
      </c>
      <c r="AC54">
        <f>Rohdaten!AE75-Rohdaten!AE56</f>
        <v>-1.0000000000000009E-3</v>
      </c>
      <c r="AD54">
        <f>Rohdaten!AF75-Rohdaten!AF56</f>
        <v>0.22999999999999998</v>
      </c>
      <c r="AE54">
        <f>Rohdaten!AG75-Rohdaten!AG56</f>
        <v>1.0000000000000009E-3</v>
      </c>
      <c r="AF54">
        <f>Rohdaten!AH75-Rohdaten!AH56</f>
        <v>-1.0000000000000009E-3</v>
      </c>
      <c r="AG54">
        <f>Rohdaten!AI75-Rohdaten!AI56</f>
        <v>0</v>
      </c>
      <c r="AH54">
        <f>Rohdaten!AJ75-Rohdaten!AJ56</f>
        <v>0</v>
      </c>
      <c r="AI54">
        <f>Rohdaten!AK75-Rohdaten!AK56</f>
        <v>-7.0000000000000062E-3</v>
      </c>
      <c r="AJ54">
        <f>Rohdaten!AL75-Rohdaten!AL56</f>
        <v>-1.0000000000000009E-3</v>
      </c>
      <c r="AK54">
        <f>Rohdaten!AM75-Rohdaten!AM56</f>
        <v>0</v>
      </c>
      <c r="AL54">
        <f>Rohdaten!AN75-Rohdaten!AN56</f>
        <v>-1.0000000000000009E-3</v>
      </c>
      <c r="AM54">
        <f>Rohdaten!AO75-Rohdaten!AO56</f>
        <v>-1.0000000000000009E-3</v>
      </c>
    </row>
    <row r="56" spans="1:39">
      <c r="A56" s="34"/>
      <c r="B56" s="34" t="s">
        <v>13</v>
      </c>
      <c r="C56" s="34" t="s">
        <v>19</v>
      </c>
      <c r="D56" s="34" t="s">
        <v>17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</row>
    <row r="57" spans="1:39">
      <c r="B57">
        <f>Rohdaten!B79-Rohdaten!B60</f>
        <v>-8.0000000000000071E-3</v>
      </c>
      <c r="C57">
        <f>Rohdaten!C79-Rohdaten!C60</f>
        <v>-9.000000000000008E-3</v>
      </c>
      <c r="D57">
        <f>Rohdaten!D79-Rohdaten!D60</f>
        <v>-7.0000000000000062E-3</v>
      </c>
      <c r="E57">
        <f>Rohdaten!E79-Rohdaten!E60</f>
        <v>-2.5999999999999995E-2</v>
      </c>
      <c r="F57">
        <f>Rohdaten!F79-Rohdaten!F60</f>
        <v>-4.9999999999999767E-3</v>
      </c>
      <c r="G57">
        <f>Rohdaten!G79-Rohdaten!G60</f>
        <v>-6.0000000000000053E-3</v>
      </c>
      <c r="H57">
        <f>Rohdaten!H79-Rohdaten!H60</f>
        <v>-4.0000000000000036E-3</v>
      </c>
      <c r="I57">
        <f>Rohdaten!I79-Rohdaten!I60</f>
        <v>-4.0000000000000036E-3</v>
      </c>
      <c r="J57">
        <f>Rohdaten!J79-Rohdaten!J60</f>
        <v>-7.0000000000000062E-3</v>
      </c>
      <c r="K57">
        <f>Rohdaten!K79-Rohdaten!K60</f>
        <v>-1.19999999999999E-2</v>
      </c>
      <c r="L57">
        <f>Rohdaten!L79-Rohdaten!L60</f>
        <v>0</v>
      </c>
      <c r="M57">
        <f>Rohdaten!M79-Rohdaten!M60</f>
        <v>-3.9000000000000035E-2</v>
      </c>
      <c r="O57">
        <f>Rohdaten!P79-Rohdaten!P60</f>
        <v>-7.0000000000000062E-3</v>
      </c>
      <c r="P57">
        <f>Rohdaten!Q79-Rohdaten!Q60</f>
        <v>-6.9999999999999785E-3</v>
      </c>
      <c r="Q57">
        <f>Rohdaten!R79-Rohdaten!R60</f>
        <v>-7.0000000000000062E-3</v>
      </c>
      <c r="R57">
        <f>Rohdaten!S79-Rohdaten!S60</f>
        <v>-8.0000000000000071E-3</v>
      </c>
      <c r="S57">
        <f>Rohdaten!T79-Rohdaten!T60</f>
        <v>-7.0000000000000062E-3</v>
      </c>
      <c r="T57">
        <f>Rohdaten!U79-Rohdaten!U60</f>
        <v>-4.0000000000000036E-3</v>
      </c>
      <c r="U57">
        <f>Rohdaten!V79-Rohdaten!V60</f>
        <v>-6.0000000000000053E-3</v>
      </c>
      <c r="V57">
        <f>Rohdaten!W79-Rohdaten!W60</f>
        <v>-3.0000000000000027E-3</v>
      </c>
      <c r="W57">
        <f>Rohdaten!X79-Rohdaten!X60</f>
        <v>-7.0000000000000062E-3</v>
      </c>
      <c r="X57">
        <f>Rohdaten!Y79-Rohdaten!Y60</f>
        <v>-6.0000000000000053E-3</v>
      </c>
      <c r="Y57">
        <f>Rohdaten!Z79-Rohdaten!Z60</f>
        <v>-5.0000000000000044E-3</v>
      </c>
      <c r="Z57">
        <f>Rohdaten!AA79-Rohdaten!AA60</f>
        <v>-8.0000000000000071E-3</v>
      </c>
      <c r="AB57">
        <f>Rohdaten!AD79-Rohdaten!AD60</f>
        <v>-9.000000000000008E-3</v>
      </c>
      <c r="AC57">
        <f>Rohdaten!AE79-Rohdaten!AE60</f>
        <v>-8.0000000000000071E-3</v>
      </c>
      <c r="AD57">
        <f>Rohdaten!AF79-Rohdaten!AF60</f>
        <v>-7.0000000000000062E-3</v>
      </c>
      <c r="AE57">
        <f>Rohdaten!AG79-Rohdaten!AG60</f>
        <v>-2.2999999999999993E-2</v>
      </c>
      <c r="AF57">
        <f>Rohdaten!AH79-Rohdaten!AH60</f>
        <v>-6.0000000000000053E-3</v>
      </c>
      <c r="AG57">
        <f>Rohdaten!AI79-Rohdaten!AI60</f>
        <v>-6.0000000000000053E-3</v>
      </c>
      <c r="AH57">
        <f>Rohdaten!AJ79-Rohdaten!AJ60</f>
        <v>-1.0000000000000009E-3</v>
      </c>
      <c r="AI57">
        <f>Rohdaten!AK79-Rohdaten!AK60</f>
        <v>2.5999999999999995E-2</v>
      </c>
      <c r="AJ57">
        <f>Rohdaten!AL79-Rohdaten!AL60</f>
        <v>-2.8999999999999998E-2</v>
      </c>
      <c r="AK57">
        <f>Rohdaten!AM79-Rohdaten!AM60</f>
        <v>-9.000000000000008E-3</v>
      </c>
      <c r="AL57">
        <f>Rohdaten!AN79-Rohdaten!AN60</f>
        <v>-5.0000000000000044E-3</v>
      </c>
      <c r="AM57">
        <f>Rohdaten!AO79-Rohdaten!AO60</f>
        <v>-3.0000000000000027E-2</v>
      </c>
    </row>
    <row r="58" spans="1:39">
      <c r="B58">
        <f>Rohdaten!B80-Rohdaten!B61</f>
        <v>-8.0000000000000071E-3</v>
      </c>
      <c r="C58">
        <f>Rohdaten!C80-Rohdaten!C61</f>
        <v>-8.0000000000000071E-3</v>
      </c>
      <c r="D58">
        <f>Rohdaten!D80-Rohdaten!D61</f>
        <v>-8.0000000000000071E-3</v>
      </c>
      <c r="E58">
        <f>Rohdaten!E80-Rohdaten!E61</f>
        <v>-1.5000000000000013E-2</v>
      </c>
      <c r="F58">
        <f>Rohdaten!F80-Rohdaten!F61</f>
        <v>-5.9999999999999915E-3</v>
      </c>
      <c r="G58">
        <f>Rohdaten!G80-Rohdaten!G61</f>
        <v>-8.0000000000000071E-3</v>
      </c>
      <c r="H58">
        <f>Rohdaten!H80-Rohdaten!H61</f>
        <v>-4.0000000000000036E-3</v>
      </c>
      <c r="I58">
        <f>Rohdaten!I80-Rohdaten!I61</f>
        <v>-3.9999999999999897E-3</v>
      </c>
      <c r="J58">
        <f>Rohdaten!J80-Rohdaten!J61</f>
        <v>-8.0000000000000071E-3</v>
      </c>
      <c r="K58">
        <f>Rohdaten!K80-Rohdaten!K61</f>
        <v>-1.8000000000000016E-2</v>
      </c>
      <c r="L58">
        <f>Rohdaten!L80-Rohdaten!L61</f>
        <v>-5.9999999999999915E-3</v>
      </c>
      <c r="M58">
        <f>Rohdaten!M80-Rohdaten!M61</f>
        <v>-2.200000000000002E-2</v>
      </c>
      <c r="O58">
        <f>Rohdaten!P80-Rohdaten!P61</f>
        <v>-6.9999999999999923E-3</v>
      </c>
      <c r="P58">
        <f>Rohdaten!Q80-Rohdaten!Q61</f>
        <v>-7.0000000000000062E-3</v>
      </c>
      <c r="Q58">
        <f>Rohdaten!R80-Rohdaten!R61</f>
        <v>-6.9999999999999923E-3</v>
      </c>
      <c r="R58">
        <f>Rohdaten!S80-Rohdaten!S61</f>
        <v>-6.9999999999999923E-3</v>
      </c>
      <c r="S58">
        <f>Rohdaten!T80-Rohdaten!T61</f>
        <v>-7.0000000000000062E-3</v>
      </c>
      <c r="T58">
        <f>Rohdaten!U80-Rohdaten!U61</f>
        <v>-7.0000000000000062E-3</v>
      </c>
      <c r="U58">
        <f>Rohdaten!V80-Rohdaten!V61</f>
        <v>-7.0000000000000062E-3</v>
      </c>
      <c r="V58">
        <f>Rohdaten!W80-Rohdaten!W61</f>
        <v>-3.9999999999999897E-3</v>
      </c>
      <c r="W58">
        <f>Rohdaten!X80-Rohdaten!X61</f>
        <v>-5.9999999999999915E-3</v>
      </c>
      <c r="X58">
        <f>Rohdaten!Y80-Rohdaten!Y61</f>
        <v>-1.2000000000000011E-2</v>
      </c>
      <c r="Y58">
        <f>Rohdaten!Z80-Rohdaten!Z61</f>
        <v>-6.0000000000000053E-3</v>
      </c>
      <c r="Z58">
        <f>Rohdaten!AA80-Rohdaten!AA61</f>
        <v>-6.0000000000000053E-3</v>
      </c>
      <c r="AB58">
        <f>Rohdaten!AD80-Rohdaten!AD61</f>
        <v>-6.9999999999999923E-3</v>
      </c>
      <c r="AC58">
        <f>Rohdaten!AE80-Rohdaten!AE61</f>
        <v>-6.9999999999999923E-3</v>
      </c>
      <c r="AD58">
        <f>Rohdaten!AF80-Rohdaten!AF61</f>
        <v>-6.9999999999999923E-3</v>
      </c>
      <c r="AE58">
        <f>Rohdaten!AG80-Rohdaten!AG61</f>
        <v>-1.3000000000000012E-2</v>
      </c>
      <c r="AF58">
        <f>Rohdaten!AH80-Rohdaten!AH61</f>
        <v>-7.0000000000000062E-3</v>
      </c>
      <c r="AG58">
        <f>Rohdaten!AI80-Rohdaten!AI61</f>
        <v>-8.0000000000000071E-3</v>
      </c>
      <c r="AH58">
        <f>Rohdaten!AJ80-Rohdaten!AJ61</f>
        <v>7.0000000000000062E-3</v>
      </c>
      <c r="AI58">
        <f>Rohdaten!AK80-Rohdaten!AK61</f>
        <v>4.0000000000000036E-3</v>
      </c>
      <c r="AJ58">
        <f>Rohdaten!AL80-Rohdaten!AL61</f>
        <v>-1.5000000000000013E-2</v>
      </c>
      <c r="AK58">
        <f>Rohdaten!AM80-Rohdaten!AM61</f>
        <v>-1.2000000000000011E-2</v>
      </c>
      <c r="AL58">
        <f>Rohdaten!AN80-Rohdaten!AN61</f>
        <v>-6.0000000000000053E-3</v>
      </c>
      <c r="AM58">
        <f>Rohdaten!AO80-Rohdaten!AO61</f>
        <v>-1.5000000000000013E-2</v>
      </c>
    </row>
    <row r="59" spans="1:39">
      <c r="B59">
        <f>Rohdaten!B81-Rohdaten!B62</f>
        <v>-7.0000000000000062E-3</v>
      </c>
      <c r="C59">
        <f>Rohdaten!C81-Rohdaten!C62</f>
        <v>-4.9999999999999767E-3</v>
      </c>
      <c r="D59">
        <f>Rohdaten!D81-Rohdaten!D62</f>
        <v>4.4999999999999984E-2</v>
      </c>
      <c r="E59">
        <f>Rohdaten!E81-Rohdaten!E62</f>
        <v>2.0000000000000018E-3</v>
      </c>
      <c r="F59">
        <f>Rohdaten!F81-Rohdaten!F62</f>
        <v>2.0000000000000018E-2</v>
      </c>
      <c r="G59">
        <f>Rohdaten!G81-Rohdaten!G62</f>
        <v>0.124</v>
      </c>
      <c r="H59">
        <f>Rohdaten!H81-Rohdaten!H62</f>
        <v>-1.100000000000001E-2</v>
      </c>
      <c r="I59">
        <f>Rohdaten!I81-Rohdaten!I62</f>
        <v>-5.9999999999999776E-3</v>
      </c>
      <c r="J59">
        <f>Rohdaten!J81-Rohdaten!J62</f>
        <v>2.1999999999999964E-2</v>
      </c>
      <c r="K59">
        <f>Rohdaten!K81-Rohdaten!K62</f>
        <v>7.900000000000007E-2</v>
      </c>
      <c r="L59">
        <f>Rohdaten!L81-Rohdaten!L62</f>
        <v>3.0000000000000027E-3</v>
      </c>
      <c r="M59">
        <f>Rohdaten!M81-Rohdaten!M62</f>
        <v>-1.0000000000000009E-3</v>
      </c>
      <c r="O59">
        <f>Rohdaten!P81-Rohdaten!P62</f>
        <v>-5.0000000000000044E-3</v>
      </c>
      <c r="P59">
        <f>Rohdaten!Q81-Rohdaten!Q62</f>
        <v>-4.0000000000000036E-3</v>
      </c>
      <c r="Q59">
        <f>Rohdaten!R81-Rohdaten!R62</f>
        <v>1.100000000000001E-2</v>
      </c>
      <c r="R59">
        <f>Rohdaten!S81-Rohdaten!S62</f>
        <v>9.2000000000000026E-2</v>
      </c>
      <c r="S59">
        <f>Rohdaten!T81-Rohdaten!T62</f>
        <v>1.9000000000000017E-2</v>
      </c>
      <c r="T59">
        <f>Rohdaten!U81-Rohdaten!U62</f>
        <v>0.17099999999999993</v>
      </c>
      <c r="U59">
        <f>Rohdaten!V81-Rohdaten!V62</f>
        <v>2.5000000000000022E-2</v>
      </c>
      <c r="V59">
        <f>Rohdaten!W81-Rohdaten!W62</f>
        <v>4.7000000000000014E-2</v>
      </c>
      <c r="W59">
        <f>Rohdaten!X81-Rohdaten!X62</f>
        <v>6.0999999999999999E-2</v>
      </c>
      <c r="X59">
        <f>Rohdaten!Y81-Rohdaten!Y62</f>
        <v>0.14800000000000002</v>
      </c>
      <c r="Y59">
        <f>Rohdaten!Z81-Rohdaten!Z62</f>
        <v>0.13</v>
      </c>
      <c r="Z59">
        <f>Rohdaten!AA81-Rohdaten!AA62</f>
        <v>0</v>
      </c>
      <c r="AB59">
        <f>Rohdaten!AD81-Rohdaten!AD62</f>
        <v>-7.0000000000000062E-3</v>
      </c>
      <c r="AC59">
        <f>Rohdaten!AE81-Rohdaten!AE62</f>
        <v>-4.9999999999999767E-3</v>
      </c>
      <c r="AD59">
        <f>Rohdaten!AF81-Rohdaten!AF62</f>
        <v>9.000000000000008E-3</v>
      </c>
      <c r="AE59">
        <f>Rohdaten!AG81-Rohdaten!AG62</f>
        <v>4.0999999999999981E-2</v>
      </c>
      <c r="AF59">
        <f>Rohdaten!AH81-Rohdaten!AH62</f>
        <v>1.2000000000000011E-2</v>
      </c>
      <c r="AG59">
        <f>Rohdaten!AI81-Rohdaten!AI62</f>
        <v>0.13200000000000001</v>
      </c>
      <c r="AH59">
        <f>Rohdaten!AJ81-Rohdaten!AJ62</f>
        <v>-4.0000000000000036E-3</v>
      </c>
      <c r="AI59">
        <f>Rohdaten!AK81-Rohdaten!AK62</f>
        <v>-9.000000000000008E-3</v>
      </c>
      <c r="AJ59">
        <f>Rohdaten!AL81-Rohdaten!AL62</f>
        <v>1.799999999999996E-2</v>
      </c>
      <c r="AK59">
        <f>Rohdaten!AM81-Rohdaten!AM62</f>
        <v>0.11699999999999999</v>
      </c>
      <c r="AL59">
        <f>Rohdaten!AN81-Rohdaten!AN62</f>
        <v>2.0000000000000018E-3</v>
      </c>
      <c r="AM59">
        <f>Rohdaten!AO81-Rohdaten!AO62</f>
        <v>0</v>
      </c>
    </row>
    <row r="60" spans="1:39">
      <c r="B60">
        <f>Rohdaten!B82-Rohdaten!B63</f>
        <v>-7.0000000000000062E-3</v>
      </c>
      <c r="C60">
        <f>Rohdaten!C82-Rohdaten!C63</f>
        <v>-4.0000000000000036E-3</v>
      </c>
      <c r="D60">
        <f>Rohdaten!D82-Rohdaten!D63</f>
        <v>7.0000000000000062E-3</v>
      </c>
      <c r="E60">
        <f>Rohdaten!E82-Rohdaten!E63</f>
        <v>-4.0000000000000036E-3</v>
      </c>
      <c r="F60">
        <f>Rohdaten!F82-Rohdaten!F63</f>
        <v>1.0000000000000009E-3</v>
      </c>
      <c r="G60">
        <f>Rohdaten!G82-Rohdaten!G63</f>
        <v>7.1000000000000008E-2</v>
      </c>
      <c r="H60">
        <f>Rohdaten!H82-Rohdaten!H63</f>
        <v>-1.3000000000000012E-2</v>
      </c>
      <c r="I60">
        <f>Rohdaten!I82-Rohdaten!I63</f>
        <v>-8.9999999999999941E-3</v>
      </c>
      <c r="J60">
        <f>Rohdaten!J82-Rohdaten!J63</f>
        <v>-3.0000000000000027E-3</v>
      </c>
      <c r="K60">
        <f>Rohdaten!K82-Rohdaten!K63</f>
        <v>5.1999999999999991E-2</v>
      </c>
      <c r="L60">
        <f>Rohdaten!L82-Rohdaten!L63</f>
        <v>-2.0000000000000018E-3</v>
      </c>
      <c r="M60">
        <f>Rohdaten!M82-Rohdaten!M63</f>
        <v>-4.0000000000000036E-3</v>
      </c>
      <c r="O60">
        <f>Rohdaten!P82-Rohdaten!P63</f>
        <v>-6.0000000000000053E-3</v>
      </c>
      <c r="P60">
        <f>Rohdaten!Q82-Rohdaten!Q63</f>
        <v>-5.0000000000000044E-3</v>
      </c>
      <c r="Q60">
        <f>Rohdaten!R82-Rohdaten!R63</f>
        <v>1.0000000000000009E-3</v>
      </c>
      <c r="R60">
        <f>Rohdaten!S82-Rohdaten!S63</f>
        <v>2.3999999999999994E-2</v>
      </c>
      <c r="S60">
        <f>Rohdaten!T82-Rohdaten!T63</f>
        <v>1.0000000000000009E-3</v>
      </c>
      <c r="T60">
        <f>Rohdaten!U82-Rohdaten!U63</f>
        <v>8.4999999999999964E-2</v>
      </c>
      <c r="U60">
        <f>Rohdaten!V82-Rohdaten!V63</f>
        <v>1.0000000000000009E-2</v>
      </c>
      <c r="V60">
        <f>Rohdaten!W82-Rohdaten!W63</f>
        <v>0.03</v>
      </c>
      <c r="W60">
        <f>Rohdaten!X82-Rohdaten!X63</f>
        <v>-2.0000000000000018E-3</v>
      </c>
      <c r="X60">
        <f>Rohdaten!Y82-Rohdaten!Y63</f>
        <v>9.1999999999999971E-2</v>
      </c>
      <c r="Y60">
        <f>Rohdaten!Z82-Rohdaten!Z63</f>
        <v>2.0999999999999991E-2</v>
      </c>
      <c r="Z60">
        <f>Rohdaten!AA82-Rohdaten!AA63</f>
        <v>-3.0000000000000027E-3</v>
      </c>
      <c r="AB60">
        <f>Rohdaten!AD82-Rohdaten!AD63</f>
        <v>-7.0000000000000062E-3</v>
      </c>
      <c r="AC60">
        <f>Rohdaten!AE82-Rohdaten!AE63</f>
        <v>-4.0000000000000036E-3</v>
      </c>
      <c r="AD60">
        <f>Rohdaten!AF82-Rohdaten!AF63</f>
        <v>2.0000000000000018E-3</v>
      </c>
      <c r="AE60">
        <f>Rohdaten!AG82-Rohdaten!AG63</f>
        <v>2.4999999999999994E-2</v>
      </c>
      <c r="AF60">
        <f>Rohdaten!AH82-Rohdaten!AH63</f>
        <v>-1.0000000000000009E-3</v>
      </c>
      <c r="AG60">
        <f>Rohdaten!AI82-Rohdaten!AI63</f>
        <v>7.6000000000000012E-2</v>
      </c>
      <c r="AH60">
        <f>Rohdaten!AJ82-Rohdaten!AJ63</f>
        <v>-6.0000000000000053E-3</v>
      </c>
      <c r="AI60">
        <f>Rohdaten!AK82-Rohdaten!AK63</f>
        <v>-1.0999999999999996E-2</v>
      </c>
      <c r="AJ60">
        <f>Rohdaten!AL82-Rohdaten!AL63</f>
        <v>0</v>
      </c>
      <c r="AK60">
        <f>Rohdaten!AM82-Rohdaten!AM63</f>
        <v>8.0000000000000016E-2</v>
      </c>
      <c r="AL60">
        <f>Rohdaten!AN82-Rohdaten!AN63</f>
        <v>0</v>
      </c>
      <c r="AM60">
        <f>Rohdaten!AO82-Rohdaten!AO63</f>
        <v>-3.0000000000000027E-3</v>
      </c>
    </row>
    <row r="61" spans="1:39">
      <c r="B61">
        <f>Rohdaten!B83-Rohdaten!B64</f>
        <v>9.8000000000000004E-2</v>
      </c>
      <c r="C61">
        <f>Rohdaten!C83-Rohdaten!C64</f>
        <v>-2.9999999999999749E-3</v>
      </c>
      <c r="D61">
        <f>Rohdaten!D83-Rohdaten!D64</f>
        <v>-5.0000000000000044E-3</v>
      </c>
      <c r="E61">
        <f>Rohdaten!E83-Rohdaten!E64</f>
        <v>0.15200000000000002</v>
      </c>
      <c r="F61">
        <f>Rohdaten!F83-Rohdaten!F64</f>
        <v>-1.7000000000000015E-2</v>
      </c>
      <c r="G61">
        <f>Rohdaten!G83-Rohdaten!G64</f>
        <v>-3.2000000000000001E-2</v>
      </c>
      <c r="H61">
        <f>Rohdaten!H83-Rohdaten!H64</f>
        <v>-5.0000000000000044E-3</v>
      </c>
      <c r="I61">
        <f>Rohdaten!I83-Rohdaten!I64</f>
        <v>-2.0000000000000018E-2</v>
      </c>
      <c r="J61">
        <f>Rohdaten!J83-Rohdaten!J64</f>
        <v>-6.0000000000000053E-3</v>
      </c>
      <c r="K61">
        <f>Rohdaten!K83-Rohdaten!K64</f>
        <v>-2.4999999999999994E-2</v>
      </c>
      <c r="L61">
        <f>Rohdaten!L83-Rohdaten!L64</f>
        <v>-2.0000000000000018E-3</v>
      </c>
      <c r="M61">
        <f>Rohdaten!M83-Rohdaten!M64</f>
        <v>3.8999999999999924E-2</v>
      </c>
      <c r="O61">
        <f>Rohdaten!P83-Rohdaten!P64</f>
        <v>-5.0000000000000044E-3</v>
      </c>
      <c r="P61">
        <f>Rohdaten!Q83-Rohdaten!Q64</f>
        <v>0</v>
      </c>
      <c r="Q61">
        <f>Rohdaten!R83-Rohdaten!R64</f>
        <v>-1.4000000000000012E-2</v>
      </c>
      <c r="R61">
        <f>Rohdaten!S83-Rohdaten!S64</f>
        <v>0.253</v>
      </c>
      <c r="S61">
        <f>Rohdaten!T83-Rohdaten!T64</f>
        <v>1.4999999999999958E-2</v>
      </c>
      <c r="T61">
        <f>Rohdaten!U83-Rohdaten!U64</f>
        <v>-6.0000000000000053E-3</v>
      </c>
      <c r="U61">
        <f>Rohdaten!V83-Rohdaten!V64</f>
        <v>2.8999999999999998E-2</v>
      </c>
      <c r="V61">
        <f>Rohdaten!W83-Rohdaten!W64</f>
        <v>-2.1000000000000019E-2</v>
      </c>
      <c r="W61">
        <f>Rohdaten!X83-Rohdaten!X64</f>
        <v>3.5000000000000003E-2</v>
      </c>
      <c r="X61">
        <f>Rohdaten!Y83-Rohdaten!Y64</f>
        <v>4.200000000000001E-2</v>
      </c>
      <c r="Y61">
        <f>Rohdaten!Z83-Rohdaten!Z64</f>
        <v>-1.0000000000000009E-3</v>
      </c>
      <c r="Z61">
        <f>Rohdaten!AA83-Rohdaten!AA64</f>
        <v>4.6999999999999931E-2</v>
      </c>
      <c r="AB61">
        <f>Rohdaten!AD83-Rohdaten!AD64</f>
        <v>0.06</v>
      </c>
      <c r="AC61">
        <f>Rohdaten!AE83-Rohdaten!AE64</f>
        <v>-4.0000000000000036E-3</v>
      </c>
      <c r="AD61">
        <f>Rohdaten!AF83-Rohdaten!AF64</f>
        <v>-4.0000000000000036E-3</v>
      </c>
      <c r="AE61">
        <f>Rohdaten!AG83-Rohdaten!AG64</f>
        <v>0.19799999999999995</v>
      </c>
      <c r="AF61">
        <f>Rohdaten!AH83-Rohdaten!AH64</f>
        <v>0.21799999999999997</v>
      </c>
      <c r="AG61">
        <f>Rohdaten!AI83-Rohdaten!AI64</f>
        <v>-5.0000000000000044E-3</v>
      </c>
      <c r="AH61">
        <f>Rohdaten!AJ83-Rohdaten!AJ64</f>
        <v>-1.1999999999999983E-2</v>
      </c>
      <c r="AI61">
        <f>Rohdaten!AK83-Rohdaten!AK64</f>
        <v>-1.2000000000000011E-2</v>
      </c>
      <c r="AJ61">
        <f>Rohdaten!AL83-Rohdaten!AL64</f>
        <v>-8.0000000000000071E-3</v>
      </c>
      <c r="AK61">
        <f>Rohdaten!AM83-Rohdaten!AM64</f>
        <v>0.03</v>
      </c>
      <c r="AL61">
        <f>Rohdaten!AN83-Rohdaten!AN64</f>
        <v>-3.0000000000000027E-3</v>
      </c>
      <c r="AM61">
        <f>Rohdaten!AO83-Rohdaten!AO64</f>
        <v>6.1999999999999944E-2</v>
      </c>
    </row>
    <row r="62" spans="1:39">
      <c r="B62">
        <f>Rohdaten!B84-Rohdaten!B65</f>
        <v>2.1000000000000005E-2</v>
      </c>
      <c r="C62">
        <f>Rohdaten!C84-Rohdaten!C65</f>
        <v>-5.0000000000000044E-3</v>
      </c>
      <c r="D62">
        <f>Rohdaten!D84-Rohdaten!D65</f>
        <v>-5.0000000000000044E-3</v>
      </c>
      <c r="E62">
        <f>Rohdaten!E84-Rohdaten!E65</f>
        <v>0.10100000000000003</v>
      </c>
      <c r="F62">
        <f>Rohdaten!F84-Rohdaten!F65</f>
        <v>-9.000000000000008E-3</v>
      </c>
      <c r="G62">
        <f>Rohdaten!G84-Rohdaten!G65</f>
        <v>-1.6E-2</v>
      </c>
      <c r="H62">
        <f>Rohdaten!H84-Rohdaten!H65</f>
        <v>-6.0000000000000053E-3</v>
      </c>
      <c r="I62">
        <f>Rohdaten!I84-Rohdaten!I65</f>
        <v>-1.3000000000000012E-2</v>
      </c>
      <c r="J62">
        <f>Rohdaten!J84-Rohdaten!J65</f>
        <v>-6.9999999999999923E-3</v>
      </c>
      <c r="K62">
        <f>Rohdaten!K84-Rohdaten!K65</f>
        <v>-1.4999999999999999E-2</v>
      </c>
      <c r="L62">
        <f>Rohdaten!L84-Rohdaten!L65</f>
        <v>-5.0000000000000044E-3</v>
      </c>
      <c r="M62">
        <f>Rohdaten!M84-Rohdaten!M65</f>
        <v>3.1999999999999917E-2</v>
      </c>
      <c r="O62">
        <f>Rohdaten!P84-Rohdaten!P65</f>
        <v>-5.0000000000000044E-3</v>
      </c>
      <c r="P62">
        <f>Rohdaten!Q84-Rohdaten!Q65</f>
        <v>-1.9999999999999879E-3</v>
      </c>
      <c r="Q62">
        <f>Rohdaten!R84-Rohdaten!R65</f>
        <v>-9.999999999999995E-3</v>
      </c>
      <c r="R62">
        <f>Rohdaten!S84-Rohdaten!S65</f>
        <v>0.15599999999999997</v>
      </c>
      <c r="S62">
        <f>Rohdaten!T84-Rohdaten!T65</f>
        <v>7.0000000000000062E-3</v>
      </c>
      <c r="T62">
        <f>Rohdaten!U84-Rohdaten!U65</f>
        <v>-4.0000000000000036E-3</v>
      </c>
      <c r="U62">
        <f>Rohdaten!V84-Rohdaten!V65</f>
        <v>-4.9999999999999906E-3</v>
      </c>
      <c r="V62">
        <f>Rohdaten!W84-Rohdaten!W65</f>
        <v>-1.2999999999999998E-2</v>
      </c>
      <c r="W62">
        <f>Rohdaten!X84-Rohdaten!X65</f>
        <v>2.2000000000000006E-2</v>
      </c>
      <c r="X62">
        <f>Rohdaten!Y84-Rohdaten!Y65</f>
        <v>-5.0000000000000044E-3</v>
      </c>
      <c r="Y62">
        <f>Rohdaten!Z84-Rohdaten!Z65</f>
        <v>-4.9999999999999906E-3</v>
      </c>
      <c r="Z62">
        <f>Rohdaten!AA84-Rohdaten!AA65</f>
        <v>3.1000000000000028E-2</v>
      </c>
      <c r="AB62">
        <f>Rohdaten!AD84-Rohdaten!AD65</f>
        <v>8.0000000000000071E-3</v>
      </c>
      <c r="AC62">
        <f>Rohdaten!AE84-Rohdaten!AE65</f>
        <v>-3.9999999999999897E-3</v>
      </c>
      <c r="AD62">
        <f>Rohdaten!AF84-Rohdaten!AF65</f>
        <v>-4.0000000000000036E-3</v>
      </c>
      <c r="AE62">
        <f>Rohdaten!AG84-Rohdaten!AG65</f>
        <v>0.14100000000000001</v>
      </c>
      <c r="AF62">
        <f>Rohdaten!AH84-Rohdaten!AH65</f>
        <v>0.11899999999999999</v>
      </c>
      <c r="AG62">
        <f>Rohdaten!AI84-Rohdaten!AI65</f>
        <v>-4.0000000000000036E-3</v>
      </c>
      <c r="AH62">
        <f>Rohdaten!AJ84-Rohdaten!AJ65</f>
        <v>-1.0999999999999996E-2</v>
      </c>
      <c r="AI62">
        <f>Rohdaten!AK84-Rohdaten!AK65</f>
        <v>-8.0000000000000071E-3</v>
      </c>
      <c r="AJ62">
        <f>Rohdaten!AL84-Rohdaten!AL65</f>
        <v>-7.0000000000000062E-3</v>
      </c>
      <c r="AK62">
        <f>Rohdaten!AM84-Rohdaten!AM65</f>
        <v>2.4999999999999994E-2</v>
      </c>
      <c r="AL62">
        <f>Rohdaten!AN84-Rohdaten!AN65</f>
        <v>-4.0000000000000036E-3</v>
      </c>
      <c r="AM62">
        <f>Rohdaten!AO84-Rohdaten!AO65</f>
        <v>3.1000000000000028E-2</v>
      </c>
    </row>
    <row r="63" spans="1:39">
      <c r="B63">
        <f>Rohdaten!B85-Rohdaten!B66</f>
        <v>-5.0000000000000044E-3</v>
      </c>
      <c r="C63">
        <f>Rohdaten!C85-Rohdaten!C66</f>
        <v>-4.0000000000000036E-3</v>
      </c>
      <c r="D63">
        <f>Rohdaten!D85-Rohdaten!D66</f>
        <v>-4.0000000000000036E-3</v>
      </c>
      <c r="E63">
        <f>Rohdaten!E85-Rohdaten!E66</f>
        <v>4.0000000000000036E-3</v>
      </c>
      <c r="F63">
        <f>Rohdaten!F85-Rohdaten!F66</f>
        <v>-4.0000000000000036E-3</v>
      </c>
      <c r="G63">
        <f>Rohdaten!G85-Rohdaten!G66</f>
        <v>1.4000000000000012E-2</v>
      </c>
      <c r="H63">
        <f>Rohdaten!H85-Rohdaten!H66</f>
        <v>4.8000000000000043E-2</v>
      </c>
      <c r="I63">
        <f>Rohdaten!I85-Rohdaten!I66</f>
        <v>1.4000000000000012E-2</v>
      </c>
      <c r="J63">
        <f>Rohdaten!J85-Rohdaten!J66</f>
        <v>-4.4999999999999984E-2</v>
      </c>
      <c r="K63">
        <f>Rohdaten!K85-Rohdaten!K66</f>
        <v>0.35899999999999999</v>
      </c>
      <c r="L63">
        <f>Rohdaten!L85-Rohdaten!L66</f>
        <v>-4.0000000000000036E-3</v>
      </c>
      <c r="M63">
        <f>Rohdaten!M85-Rohdaten!M66</f>
        <v>-9.000000000000008E-3</v>
      </c>
      <c r="O63">
        <f>Rohdaten!P85-Rohdaten!P66</f>
        <v>-6.0000000000000053E-3</v>
      </c>
      <c r="P63">
        <f>Rohdaten!Q85-Rohdaten!Q66</f>
        <v>-4.0000000000000036E-3</v>
      </c>
      <c r="Q63">
        <f>Rohdaten!R85-Rohdaten!R66</f>
        <v>4.5000000000000012E-2</v>
      </c>
      <c r="R63">
        <f>Rohdaten!S85-Rohdaten!S66</f>
        <v>5.0000000000000044E-3</v>
      </c>
      <c r="S63">
        <f>Rohdaten!T85-Rohdaten!T66</f>
        <v>9.9999999999999811E-3</v>
      </c>
      <c r="T63">
        <f>Rohdaten!U85-Rohdaten!U66</f>
        <v>1.7000000000000015E-2</v>
      </c>
      <c r="U63">
        <f>Rohdaten!V85-Rohdaten!V66</f>
        <v>6.4000000000000057E-2</v>
      </c>
      <c r="V63">
        <f>Rohdaten!W85-Rohdaten!W66</f>
        <v>0.29000000000000004</v>
      </c>
      <c r="W63">
        <f>Rohdaten!X85-Rohdaten!X66</f>
        <v>0.03</v>
      </c>
      <c r="X63">
        <f>Rohdaten!Y85-Rohdaten!Y66</f>
        <v>-5.0000000000000044E-3</v>
      </c>
      <c r="Y63">
        <f>Rohdaten!Z85-Rohdaten!Z66</f>
        <v>-4.0000000000000036E-3</v>
      </c>
      <c r="Z63">
        <f>Rohdaten!AA85-Rohdaten!AA66</f>
        <v>-5.9999999999999776E-3</v>
      </c>
      <c r="AB63">
        <f>Rohdaten!AD85-Rohdaten!AD66</f>
        <v>0.21</v>
      </c>
      <c r="AC63">
        <f>Rohdaten!AE85-Rohdaten!AE66</f>
        <v>-4.0000000000000036E-3</v>
      </c>
      <c r="AD63">
        <f>Rohdaten!AF85-Rohdaten!AF66</f>
        <v>-8.0000000000000071E-3</v>
      </c>
      <c r="AE63">
        <f>Rohdaten!AG85-Rohdaten!AG66</f>
        <v>8.0000000000000071E-3</v>
      </c>
      <c r="AF63">
        <f>Rohdaten!AH85-Rohdaten!AH66</f>
        <v>-3.0000000000000027E-3</v>
      </c>
      <c r="AG63">
        <f>Rohdaten!AI85-Rohdaten!AI66</f>
        <v>1.100000000000001E-2</v>
      </c>
      <c r="AH63">
        <f>Rohdaten!AJ85-Rohdaten!AJ66</f>
        <v>0.125</v>
      </c>
      <c r="AI63">
        <f>Rohdaten!AK85-Rohdaten!AK66</f>
        <v>0.26999999999999991</v>
      </c>
      <c r="AJ63">
        <f>Rohdaten!AL85-Rohdaten!AL66</f>
        <v>-3.4000000000000002E-2</v>
      </c>
      <c r="AK63">
        <f>Rohdaten!AM85-Rohdaten!AM66</f>
        <v>1.0000000000000009E-3</v>
      </c>
      <c r="AL63">
        <f>Rohdaten!AN85-Rohdaten!AN66</f>
        <v>-4.0000000000000036E-3</v>
      </c>
      <c r="AM63">
        <f>Rohdaten!AO85-Rohdaten!AO66</f>
        <v>-7.9999999999999793E-3</v>
      </c>
    </row>
    <row r="64" spans="1:39">
      <c r="B64">
        <f>Rohdaten!B86-Rohdaten!B67</f>
        <v>1.0000000000000009E-3</v>
      </c>
      <c r="C64">
        <f>Rohdaten!C86-Rohdaten!C67</f>
        <v>-4.0000000000000036E-3</v>
      </c>
      <c r="D64">
        <f>Rohdaten!D86-Rohdaten!D67</f>
        <v>-5.0000000000000044E-3</v>
      </c>
      <c r="E64">
        <f>Rohdaten!E86-Rohdaten!E67</f>
        <v>-4.0000000000000036E-3</v>
      </c>
      <c r="F64">
        <f>Rohdaten!F86-Rohdaten!F67</f>
        <v>-6.0000000000000053E-3</v>
      </c>
      <c r="G64">
        <f>Rohdaten!G86-Rohdaten!G67</f>
        <v>0</v>
      </c>
      <c r="H64">
        <f>Rohdaten!H86-Rohdaten!H67</f>
        <v>2.7000000000000024E-2</v>
      </c>
      <c r="I64">
        <f>Rohdaten!I86-Rohdaten!I67</f>
        <v>1.6000000000000014E-2</v>
      </c>
      <c r="J64">
        <f>Rohdaten!J86-Rohdaten!J67</f>
        <v>-6.0000000000000053E-3</v>
      </c>
      <c r="K64">
        <f>Rohdaten!K86-Rohdaten!K67</f>
        <v>0.16399999999999998</v>
      </c>
      <c r="L64">
        <f>Rohdaten!L86-Rohdaten!L67</f>
        <v>-5.9999999999999915E-3</v>
      </c>
      <c r="M64">
        <f>Rohdaten!M86-Rohdaten!M67</f>
        <v>-6.9999999999999923E-3</v>
      </c>
      <c r="O64">
        <f>Rohdaten!P86-Rohdaten!P67</f>
        <v>-8.0000000000000071E-3</v>
      </c>
      <c r="P64">
        <f>Rohdaten!Q86-Rohdaten!Q67</f>
        <v>-4.0000000000000036E-3</v>
      </c>
      <c r="Q64">
        <f>Rohdaten!R86-Rohdaten!R67</f>
        <v>4.9999999999999906E-3</v>
      </c>
      <c r="R64">
        <f>Rohdaten!S86-Rohdaten!S67</f>
        <v>-4.0000000000000036E-3</v>
      </c>
      <c r="S64">
        <f>Rohdaten!T86-Rohdaten!T67</f>
        <v>1.0000000000000009E-3</v>
      </c>
      <c r="T64">
        <f>Rohdaten!U86-Rohdaten!U67</f>
        <v>-2.6999999999999996E-2</v>
      </c>
      <c r="U64">
        <f>Rohdaten!V86-Rohdaten!V67</f>
        <v>2.6999999999999968E-2</v>
      </c>
      <c r="V64">
        <f>Rohdaten!W86-Rohdaten!W67</f>
        <v>0.15600000000000003</v>
      </c>
      <c r="W64">
        <f>Rohdaten!X86-Rohdaten!X67</f>
        <v>-6.9999999999999923E-3</v>
      </c>
      <c r="X64">
        <f>Rohdaten!Y86-Rohdaten!Y67</f>
        <v>-5.9999999999999915E-3</v>
      </c>
      <c r="Y64">
        <f>Rohdaten!Z86-Rohdaten!Z67</f>
        <v>-4.9999999999999906E-3</v>
      </c>
      <c r="Z64">
        <f>Rohdaten!AA86-Rohdaten!AA67</f>
        <v>-5.9999999999999915E-3</v>
      </c>
      <c r="AB64">
        <f>Rohdaten!AD86-Rohdaten!AD67</f>
        <v>9.8999999999999991E-2</v>
      </c>
      <c r="AC64">
        <f>Rohdaten!AE86-Rohdaten!AE67</f>
        <v>-4.0000000000000036E-3</v>
      </c>
      <c r="AD64">
        <f>Rohdaten!AF86-Rohdaten!AF67</f>
        <v>-5.0000000000000044E-3</v>
      </c>
      <c r="AE64">
        <f>Rohdaten!AG86-Rohdaten!AG67</f>
        <v>1.9999999999999879E-3</v>
      </c>
      <c r="AF64">
        <f>Rohdaten!AH86-Rohdaten!AH67</f>
        <v>-3.0000000000000027E-3</v>
      </c>
      <c r="AG64">
        <f>Rohdaten!AI86-Rohdaten!AI67</f>
        <v>-1.0000000000000009E-3</v>
      </c>
      <c r="AH64">
        <f>Rohdaten!AJ86-Rohdaten!AJ67</f>
        <v>8.8000000000000023E-2</v>
      </c>
      <c r="AI64">
        <f>Rohdaten!AK86-Rohdaten!AK67</f>
        <v>0.11399999999999999</v>
      </c>
      <c r="AJ64">
        <f>Rohdaten!AL86-Rohdaten!AL67</f>
        <v>-3.9999999999999897E-3</v>
      </c>
      <c r="AK64">
        <f>Rohdaten!AM86-Rohdaten!AM67</f>
        <v>0</v>
      </c>
      <c r="AL64">
        <f>Rohdaten!AN86-Rohdaten!AN67</f>
        <v>-4.9999999999999906E-3</v>
      </c>
      <c r="AM64">
        <f>Rohdaten!AO86-Rohdaten!AO67</f>
        <v>-6.9999999999999923E-3</v>
      </c>
    </row>
    <row r="65" spans="2:39">
      <c r="B65">
        <f>Rohdaten!B87-Rohdaten!B68</f>
        <v>0</v>
      </c>
      <c r="C65">
        <f>Rohdaten!C87-Rohdaten!C68</f>
        <v>-1.0000000000000009E-3</v>
      </c>
      <c r="D65">
        <f>Rohdaten!D87-Rohdaten!D68</f>
        <v>-4.0000000000000036E-3</v>
      </c>
      <c r="E65">
        <f>Rohdaten!E87-Rohdaten!E68</f>
        <v>-3.3000000000000029E-2</v>
      </c>
      <c r="F65">
        <f>Rohdaten!F87-Rohdaten!F68</f>
        <v>1.7000000000000015E-2</v>
      </c>
      <c r="G65">
        <f>Rohdaten!G87-Rohdaten!G68</f>
        <v>-3.0000000000000027E-3</v>
      </c>
      <c r="H65">
        <f>Rohdaten!H87-Rohdaten!H68</f>
        <v>-4.0000000000000036E-3</v>
      </c>
      <c r="I65">
        <f>Rohdaten!I87-Rohdaten!I68</f>
        <v>0.98199999999999998</v>
      </c>
      <c r="J65">
        <f>Rohdaten!J87-Rohdaten!J68</f>
        <v>0.45700000000000002</v>
      </c>
      <c r="K65">
        <f>Rohdaten!K87-Rohdaten!K68</f>
        <v>-2.0000000000000018E-3</v>
      </c>
      <c r="L65">
        <f>Rohdaten!L87-Rohdaten!L68</f>
        <v>-3.9999999999999758E-3</v>
      </c>
      <c r="M65">
        <f>Rohdaten!M87-Rohdaten!M68</f>
        <v>4.1999999999999982E-2</v>
      </c>
      <c r="O65">
        <f>Rohdaten!P87-Rohdaten!P68</f>
        <v>5.0000000000000044E-3</v>
      </c>
      <c r="P65">
        <f>Rohdaten!Q87-Rohdaten!Q68</f>
        <v>0</v>
      </c>
      <c r="Q65">
        <f>Rohdaten!R87-Rohdaten!R68</f>
        <v>-4.0000000000000036E-3</v>
      </c>
      <c r="R65">
        <f>Rohdaten!S87-Rohdaten!S68</f>
        <v>8.0000000000000071E-3</v>
      </c>
      <c r="S65">
        <f>Rohdaten!T87-Rohdaten!T68</f>
        <v>1.4000000000000012E-2</v>
      </c>
      <c r="T65">
        <f>Rohdaten!U87-Rohdaten!U68</f>
        <v>2.6999999999999996E-2</v>
      </c>
      <c r="U65">
        <f>Rohdaten!V87-Rohdaten!V68</f>
        <v>-4.0000000000000036E-3</v>
      </c>
      <c r="V65">
        <f>Rohdaten!W87-Rohdaten!W68</f>
        <v>2.7999999999999997E-2</v>
      </c>
      <c r="W65">
        <f>Rohdaten!X87-Rohdaten!X68</f>
        <v>0.35400000000000004</v>
      </c>
      <c r="X65">
        <f>Rohdaten!Y87-Rohdaten!Y68</f>
        <v>-3.0000000000000027E-3</v>
      </c>
      <c r="Y65">
        <f>Rohdaten!Z87-Rohdaten!Z68</f>
        <v>-9.9999999999999811E-3</v>
      </c>
      <c r="Z65">
        <f>Rohdaten!AA87-Rohdaten!AA68</f>
        <v>5.0000000000000044E-2</v>
      </c>
      <c r="AB65">
        <f>Rohdaten!AD87-Rohdaten!AD68</f>
        <v>-5.0000000000000044E-3</v>
      </c>
      <c r="AC65">
        <f>Rohdaten!AE87-Rohdaten!AE68</f>
        <v>-2.0000000000000018E-3</v>
      </c>
      <c r="AD65">
        <f>Rohdaten!AF87-Rohdaten!AF68</f>
        <v>0.11299999999999999</v>
      </c>
      <c r="AE65">
        <f>Rohdaten!AG87-Rohdaten!AG68</f>
        <v>-1.100000000000001E-2</v>
      </c>
      <c r="AF65">
        <f>Rohdaten!AH87-Rohdaten!AH68</f>
        <v>2.5000000000000022E-2</v>
      </c>
      <c r="AG65">
        <f>Rohdaten!AI87-Rohdaten!AI68</f>
        <v>-4.0000000000000036E-3</v>
      </c>
      <c r="AH65">
        <f>Rohdaten!AJ87-Rohdaten!AJ68</f>
        <v>-5.0000000000000044E-3</v>
      </c>
      <c r="AI65">
        <f>Rohdaten!AK87-Rohdaten!AK68</f>
        <v>0.59700000000000009</v>
      </c>
      <c r="AJ65">
        <f>Rohdaten!AL87-Rohdaten!AL68</f>
        <v>0.33600000000000002</v>
      </c>
      <c r="AK65">
        <f>Rohdaten!AM87-Rohdaten!AM68</f>
        <v>4.0000000000000008E-2</v>
      </c>
      <c r="AL65">
        <f>Rohdaten!AN87-Rohdaten!AN68</f>
        <v>0</v>
      </c>
      <c r="AM65">
        <f>Rohdaten!AO87-Rohdaten!AO68</f>
        <v>4.9999999999999989E-2</v>
      </c>
    </row>
    <row r="66" spans="2:39">
      <c r="B66">
        <f>Rohdaten!B88-Rohdaten!B69</f>
        <v>-1.0000000000000009E-3</v>
      </c>
      <c r="C66">
        <f>Rohdaten!C88-Rohdaten!C69</f>
        <v>-2.0000000000000018E-3</v>
      </c>
      <c r="D66">
        <f>Rohdaten!D88-Rohdaten!D69</f>
        <v>-5.0000000000000044E-3</v>
      </c>
      <c r="E66">
        <f>Rohdaten!E88-Rohdaten!E69</f>
        <v>-0.03</v>
      </c>
      <c r="F66">
        <f>Rohdaten!F88-Rohdaten!F69</f>
        <v>-3.0000000000000027E-3</v>
      </c>
      <c r="G66">
        <f>Rohdaten!G88-Rohdaten!G69</f>
        <v>-6.0000000000000053E-3</v>
      </c>
      <c r="H66">
        <f>Rohdaten!H88-Rohdaten!H69</f>
        <v>-5.0000000000000044E-3</v>
      </c>
      <c r="I66">
        <f>Rohdaten!I88-Rohdaten!I69</f>
        <v>0.21100000000000002</v>
      </c>
      <c r="J66">
        <f>Rohdaten!J88-Rohdaten!J69</f>
        <v>0.124</v>
      </c>
      <c r="K66">
        <f>Rohdaten!K88-Rohdaten!K69</f>
        <v>-4.9999999999999906E-3</v>
      </c>
      <c r="L66">
        <f>Rohdaten!L88-Rohdaten!L69</f>
        <v>-4.9999999999999906E-3</v>
      </c>
      <c r="M66">
        <f>Rohdaten!M88-Rohdaten!M69</f>
        <v>-3.0000000000000027E-3</v>
      </c>
      <c r="O66">
        <f>Rohdaten!P88-Rohdaten!P69</f>
        <v>1.0000000000000009E-3</v>
      </c>
      <c r="P66">
        <f>Rohdaten!Q88-Rohdaten!Q69</f>
        <v>-2.0000000000000018E-3</v>
      </c>
      <c r="Q66">
        <f>Rohdaten!R88-Rohdaten!R69</f>
        <v>-4.0000000000000036E-3</v>
      </c>
      <c r="R66">
        <f>Rohdaten!S88-Rohdaten!S69</f>
        <v>6.0000000000000053E-3</v>
      </c>
      <c r="S66">
        <f>Rohdaten!T88-Rohdaten!T69</f>
        <v>-3.0000000000000027E-3</v>
      </c>
      <c r="T66">
        <f>Rohdaten!U88-Rohdaten!U69</f>
        <v>-5.0000000000000044E-3</v>
      </c>
      <c r="U66">
        <f>Rohdaten!V88-Rohdaten!V69</f>
        <v>-6.0000000000000053E-3</v>
      </c>
      <c r="V66">
        <f>Rohdaten!W88-Rohdaten!W69</f>
        <v>1.8000000000000002E-2</v>
      </c>
      <c r="W66">
        <f>Rohdaten!X88-Rohdaten!X69</f>
        <v>6.0000000000000026E-2</v>
      </c>
      <c r="X66">
        <f>Rohdaten!Y88-Rohdaten!Y69</f>
        <v>-5.9999999999999915E-3</v>
      </c>
      <c r="Y66">
        <f>Rohdaten!Z88-Rohdaten!Z69</f>
        <v>-7.9999999999999932E-3</v>
      </c>
      <c r="Z66">
        <f>Rohdaten!AA88-Rohdaten!AA69</f>
        <v>-2.9999999999999888E-3</v>
      </c>
      <c r="AB66">
        <f>Rohdaten!AD88-Rohdaten!AD69</f>
        <v>-4.0000000000000036E-3</v>
      </c>
      <c r="AC66">
        <f>Rohdaten!AE88-Rohdaten!AE69</f>
        <v>-2.0000000000000018E-3</v>
      </c>
      <c r="AD66">
        <f>Rohdaten!AF88-Rohdaten!AF69</f>
        <v>1.0000000000000009E-3</v>
      </c>
      <c r="AE66">
        <f>Rohdaten!AG88-Rohdaten!AG69</f>
        <v>-7.0000000000000062E-3</v>
      </c>
      <c r="AF66">
        <f>Rohdaten!AH88-Rohdaten!AH69</f>
        <v>-2.0000000000000018E-3</v>
      </c>
      <c r="AG66">
        <f>Rohdaten!AI88-Rohdaten!AI69</f>
        <v>-5.0000000000000044E-3</v>
      </c>
      <c r="AH66">
        <f>Rohdaten!AJ88-Rohdaten!AJ69</f>
        <v>-5.0000000000000044E-3</v>
      </c>
      <c r="AI66">
        <f>Rohdaten!AK88-Rohdaten!AK69</f>
        <v>0.22999999999999998</v>
      </c>
      <c r="AJ66">
        <f>Rohdaten!AL88-Rohdaten!AL69</f>
        <v>7.1000000000000008E-2</v>
      </c>
      <c r="AK66">
        <f>Rohdaten!AM88-Rohdaten!AM69</f>
        <v>2.3000000000000007E-2</v>
      </c>
      <c r="AL66">
        <f>Rohdaten!AN88-Rohdaten!AN69</f>
        <v>-2.0000000000000018E-3</v>
      </c>
      <c r="AM66">
        <f>Rohdaten!AO88-Rohdaten!AO69</f>
        <v>-2.0000000000000018E-3</v>
      </c>
    </row>
    <row r="67" spans="2:39">
      <c r="B67">
        <f>Rohdaten!B89-Rohdaten!B70</f>
        <v>-5.9999999999999776E-3</v>
      </c>
      <c r="C67">
        <f>Rohdaten!C89-Rohdaten!C70</f>
        <v>-3.0000000000000027E-3</v>
      </c>
      <c r="D67">
        <f>Rohdaten!D89-Rohdaten!D70</f>
        <v>-5.0000000000000044E-3</v>
      </c>
      <c r="E67">
        <f>Rohdaten!E89-Rohdaten!E70</f>
        <v>-4.0000000000000036E-3</v>
      </c>
      <c r="F67">
        <f>Rohdaten!F89-Rohdaten!F70</f>
        <v>-9.9999999999994538E-4</v>
      </c>
      <c r="G67">
        <f>Rohdaten!G89-Rohdaten!G70</f>
        <v>-5.0000000000000044E-3</v>
      </c>
      <c r="H67">
        <f>Rohdaten!H89-Rohdaten!H70</f>
        <v>1.7000000000000015E-2</v>
      </c>
      <c r="I67">
        <f>Rohdaten!I89-Rohdaten!I70</f>
        <v>-5.0000000000000044E-3</v>
      </c>
      <c r="J67">
        <f>Rohdaten!J89-Rohdaten!J70</f>
        <v>1.799999999999996E-2</v>
      </c>
      <c r="K67">
        <f>Rohdaten!K89-Rohdaten!K70</f>
        <v>-4.0000000000000036E-3</v>
      </c>
      <c r="L67">
        <f>Rohdaten!L89-Rohdaten!L70</f>
        <v>-5.0000000000000044E-3</v>
      </c>
      <c r="M67">
        <f>Rohdaten!M89-Rohdaten!M70</f>
        <v>-0.18599999999999994</v>
      </c>
      <c r="O67">
        <f>Rohdaten!P89-Rohdaten!P70</f>
        <v>3.7000000000000033E-2</v>
      </c>
      <c r="P67">
        <f>Rohdaten!Q89-Rohdaten!Q70</f>
        <v>-4.0000000000000036E-3</v>
      </c>
      <c r="Q67">
        <f>Rohdaten!R89-Rohdaten!R70</f>
        <v>-3.0000000000000027E-3</v>
      </c>
      <c r="R67">
        <f>Rohdaten!S89-Rohdaten!S70</f>
        <v>-5.0000000000000044E-3</v>
      </c>
      <c r="S67">
        <f>Rohdaten!T89-Rohdaten!T70</f>
        <v>9.6000000000000002E-2</v>
      </c>
      <c r="T67">
        <f>Rohdaten!U89-Rohdaten!U70</f>
        <v>-1.0000000000000009E-3</v>
      </c>
      <c r="U67">
        <f>Rohdaten!V89-Rohdaten!V70</f>
        <v>-7.0000000000000062E-3</v>
      </c>
      <c r="V67">
        <f>Rohdaten!W89-Rohdaten!W70</f>
        <v>2.7999999999999997E-2</v>
      </c>
      <c r="W67">
        <f>Rohdaten!X89-Rohdaten!X70</f>
        <v>4.5999999999999985E-2</v>
      </c>
      <c r="X67">
        <f>Rohdaten!Y89-Rohdaten!Y70</f>
        <v>-4.0000000000000036E-3</v>
      </c>
      <c r="Y67">
        <f>Rohdaten!Z89-Rohdaten!Z70</f>
        <v>-5.0000000000000044E-3</v>
      </c>
      <c r="Z67">
        <f>Rohdaten!AA89-Rohdaten!AA70</f>
        <v>-4.0000000000000036E-3</v>
      </c>
      <c r="AB67">
        <f>Rohdaten!AD89-Rohdaten!AD70</f>
        <v>-4.0000000000000036E-3</v>
      </c>
      <c r="AC67">
        <f>Rohdaten!AE89-Rohdaten!AE70</f>
        <v>-4.0000000000000036E-3</v>
      </c>
      <c r="AD67">
        <f>Rohdaten!AF89-Rohdaten!AF70</f>
        <v>-3.8999999999999979E-2</v>
      </c>
      <c r="AE67">
        <f>Rohdaten!AG89-Rohdaten!AG70</f>
        <v>3.3000000000000002E-2</v>
      </c>
      <c r="AF67">
        <f>Rohdaten!AH89-Rohdaten!AH70</f>
        <v>4.0000000000000036E-3</v>
      </c>
      <c r="AG67">
        <f>Rohdaten!AI89-Rohdaten!AI70</f>
        <v>-9.000000000000008E-3</v>
      </c>
      <c r="AH67">
        <f>Rohdaten!AJ89-Rohdaten!AJ70</f>
        <v>-7.0000000000000062E-3</v>
      </c>
      <c r="AI67">
        <f>Rohdaten!AK89-Rohdaten!AK70</f>
        <v>-3.9999999999999758E-3</v>
      </c>
      <c r="AJ67">
        <f>Rohdaten!AL89-Rohdaten!AL70</f>
        <v>1.799999999999996E-2</v>
      </c>
      <c r="AK67">
        <f>Rohdaten!AM89-Rohdaten!AM70</f>
        <v>0.29399999999999998</v>
      </c>
      <c r="AL67">
        <f>Rohdaten!AN89-Rohdaten!AN70</f>
        <v>-4.0000000000000036E-3</v>
      </c>
      <c r="AM67">
        <f>Rohdaten!AO89-Rohdaten!AO70</f>
        <v>-5.9999999999999776E-3</v>
      </c>
    </row>
    <row r="68" spans="2:39">
      <c r="B68">
        <f>Rohdaten!B90-Rohdaten!B71</f>
        <v>-6.0000000000000053E-3</v>
      </c>
      <c r="C68">
        <f>Rohdaten!C90-Rohdaten!C71</f>
        <v>-4.0000000000000036E-3</v>
      </c>
      <c r="D68">
        <f>Rohdaten!D90-Rohdaten!D71</f>
        <v>-7.0000000000000062E-3</v>
      </c>
      <c r="E68">
        <f>Rohdaten!E90-Rohdaten!E71</f>
        <v>-6.0000000000000053E-3</v>
      </c>
      <c r="F68">
        <f>Rohdaten!F90-Rohdaten!F71</f>
        <v>-8.9999999999999941E-3</v>
      </c>
      <c r="G68">
        <f>Rohdaten!G90-Rohdaten!G71</f>
        <v>-7.0000000000000062E-3</v>
      </c>
      <c r="H68">
        <f>Rohdaten!H90-Rohdaten!H71</f>
        <v>1.0000000000000009E-3</v>
      </c>
      <c r="I68">
        <f>Rohdaten!I90-Rohdaten!I71</f>
        <v>-6.0000000000000053E-3</v>
      </c>
      <c r="J68">
        <f>Rohdaten!J90-Rohdaten!J71</f>
        <v>-5.0000000000000044E-3</v>
      </c>
      <c r="K68">
        <f>Rohdaten!K90-Rohdaten!K71</f>
        <v>-4.9999999999999906E-3</v>
      </c>
      <c r="L68">
        <f>Rohdaten!L90-Rohdaten!L71</f>
        <v>-7.9999999999999932E-3</v>
      </c>
      <c r="M68">
        <f>Rohdaten!M90-Rohdaten!M71</f>
        <v>-7.1000000000000008E-2</v>
      </c>
      <c r="O68">
        <f>Rohdaten!P90-Rohdaten!P71</f>
        <v>6.0000000000000053E-3</v>
      </c>
      <c r="P68">
        <f>Rohdaten!Q90-Rohdaten!Q71</f>
        <v>-4.9999999999999906E-3</v>
      </c>
      <c r="Q68">
        <f>Rohdaten!R90-Rohdaten!R71</f>
        <v>-5.0000000000000044E-3</v>
      </c>
      <c r="R68">
        <f>Rohdaten!S90-Rohdaten!S71</f>
        <v>-6.0000000000000053E-3</v>
      </c>
      <c r="S68">
        <f>Rohdaten!T90-Rohdaten!T71</f>
        <v>1.2999999999999998E-2</v>
      </c>
      <c r="T68">
        <f>Rohdaten!U90-Rohdaten!U71</f>
        <v>-1.100000000000001E-2</v>
      </c>
      <c r="U68">
        <f>Rohdaten!V90-Rohdaten!V71</f>
        <v>-6.0000000000000053E-3</v>
      </c>
      <c r="V68">
        <f>Rohdaten!W90-Rohdaten!W71</f>
        <v>1.9000000000000003E-2</v>
      </c>
      <c r="W68">
        <f>Rohdaten!X90-Rohdaten!X71</f>
        <v>1.8000000000000002E-2</v>
      </c>
      <c r="X68">
        <f>Rohdaten!Y90-Rohdaten!Y71</f>
        <v>-6.9999999999999923E-3</v>
      </c>
      <c r="Y68">
        <f>Rohdaten!Z90-Rohdaten!Z71</f>
        <v>-7.0000000000000062E-3</v>
      </c>
      <c r="Z68">
        <f>Rohdaten!AA90-Rohdaten!AA71</f>
        <v>-7.0000000000000062E-3</v>
      </c>
      <c r="AB68">
        <f>Rohdaten!AD90-Rohdaten!AD71</f>
        <v>-5.0000000000000044E-3</v>
      </c>
      <c r="AC68">
        <f>Rohdaten!AE90-Rohdaten!AE71</f>
        <v>-4.9999999999999906E-3</v>
      </c>
      <c r="AD68">
        <f>Rohdaten!AF90-Rohdaten!AF71</f>
        <v>-2.1999999999999992E-2</v>
      </c>
      <c r="AE68">
        <f>Rohdaten!AG90-Rohdaten!AG71</f>
        <v>3.0000000000000027E-3</v>
      </c>
      <c r="AF68">
        <f>Rohdaten!AH90-Rohdaten!AH71</f>
        <v>-6.0000000000000053E-3</v>
      </c>
      <c r="AG68">
        <f>Rohdaten!AI90-Rohdaten!AI71</f>
        <v>-4.0000000000000036E-3</v>
      </c>
      <c r="AH68">
        <f>Rohdaten!AJ90-Rohdaten!AJ71</f>
        <v>-6.0000000000000053E-3</v>
      </c>
      <c r="AI68">
        <f>Rohdaten!AK90-Rohdaten!AK71</f>
        <v>-4.9999999999999906E-3</v>
      </c>
      <c r="AJ68">
        <f>Rohdaten!AL90-Rohdaten!AL71</f>
        <v>-3.9999999999999897E-3</v>
      </c>
      <c r="AK68">
        <f>Rohdaten!AM90-Rohdaten!AM71</f>
        <v>4.5999999999999985E-2</v>
      </c>
      <c r="AL68">
        <f>Rohdaten!AN90-Rohdaten!AN71</f>
        <v>-5.0000000000000044E-3</v>
      </c>
      <c r="AM68">
        <f>Rohdaten!AO90-Rohdaten!AO71</f>
        <v>-6.9999999999999923E-3</v>
      </c>
    </row>
    <row r="69" spans="2:39">
      <c r="B69">
        <f>Rohdaten!B91-Rohdaten!B72</f>
        <v>3.3999999999999975E-2</v>
      </c>
      <c r="C69">
        <f>Rohdaten!C91-Rohdaten!C72</f>
        <v>0.19599999999999995</v>
      </c>
      <c r="D69">
        <f>Rohdaten!D91-Rohdaten!D72</f>
        <v>0.25499999999999995</v>
      </c>
      <c r="E69">
        <f>Rohdaten!E91-Rohdaten!E72</f>
        <v>-5.0000000000000044E-3</v>
      </c>
      <c r="F69">
        <f>Rohdaten!F91-Rohdaten!F72</f>
        <v>-9.9999999999998701E-4</v>
      </c>
      <c r="G69">
        <f>Rohdaten!G91-Rohdaten!G72</f>
        <v>-2.0000000000000018E-3</v>
      </c>
      <c r="H69">
        <f>Rohdaten!H91-Rohdaten!H72</f>
        <v>-3.9999999999999758E-3</v>
      </c>
      <c r="I69">
        <f>Rohdaten!I91-Rohdaten!I72</f>
        <v>-3.0000000000000027E-3</v>
      </c>
      <c r="J69">
        <f>Rohdaten!J91-Rohdaten!J72</f>
        <v>5.6000000000000022E-2</v>
      </c>
      <c r="K69">
        <f>Rohdaten!K91-Rohdaten!K72</f>
        <v>0.15000000000000002</v>
      </c>
      <c r="L69">
        <f>Rohdaten!L91-Rohdaten!L72</f>
        <v>-3.0000000000000027E-3</v>
      </c>
      <c r="M69">
        <f>Rohdaten!M91-Rohdaten!M72</f>
        <v>-3.9999999999999758E-3</v>
      </c>
      <c r="O69">
        <f>Rohdaten!P91-Rohdaten!P72</f>
        <v>-5.0000000000000044E-3</v>
      </c>
      <c r="P69">
        <f>Rohdaten!Q91-Rohdaten!Q72</f>
        <v>7.1000000000000008E-2</v>
      </c>
      <c r="Q69">
        <f>Rohdaten!R91-Rohdaten!R72</f>
        <v>-5.0000000000000044E-3</v>
      </c>
      <c r="R69">
        <f>Rohdaten!S91-Rohdaten!S72</f>
        <v>-8.9999999999999525E-3</v>
      </c>
      <c r="S69">
        <f>Rohdaten!T91-Rohdaten!T72</f>
        <v>-3.0000000000000027E-3</v>
      </c>
      <c r="T69">
        <f>Rohdaten!U91-Rohdaten!U72</f>
        <v>-2.0000000000000018E-3</v>
      </c>
      <c r="U69">
        <f>Rohdaten!V91-Rohdaten!V72</f>
        <v>-1.0999999999999982E-2</v>
      </c>
      <c r="V69">
        <f>Rohdaten!W91-Rohdaten!W72</f>
        <v>-1.3000000000000012E-2</v>
      </c>
      <c r="W69">
        <f>Rohdaten!X91-Rohdaten!X72</f>
        <v>0.11699999999999997</v>
      </c>
      <c r="X69">
        <f>Rohdaten!Y91-Rohdaten!Y72</f>
        <v>0.16800000000000004</v>
      </c>
      <c r="Y69">
        <f>Rohdaten!Z91-Rohdaten!Z72</f>
        <v>-1.2999999999999984E-2</v>
      </c>
      <c r="Z69">
        <f>Rohdaten!AA91-Rohdaten!AA72</f>
        <v>-2.0000000000000018E-3</v>
      </c>
      <c r="AB69">
        <f>Rohdaten!AD91-Rohdaten!AD72</f>
        <v>-7.0000000000000062E-3</v>
      </c>
      <c r="AC69">
        <f>Rohdaten!AE91-Rohdaten!AE72</f>
        <v>6.4999999999999974E-2</v>
      </c>
      <c r="AD69">
        <f>Rohdaten!AF91-Rohdaten!AF72</f>
        <v>-4.0000000000000036E-3</v>
      </c>
      <c r="AE69">
        <f>Rohdaten!AG91-Rohdaten!AG72</f>
        <v>-1.7000000000000015E-2</v>
      </c>
      <c r="AF69">
        <f>Rohdaten!AH91-Rohdaten!AH72</f>
        <v>1.100000000000001E-2</v>
      </c>
      <c r="AG69">
        <f>Rohdaten!AI91-Rohdaten!AI72</f>
        <v>-1.0000000000000009E-3</v>
      </c>
      <c r="AH69">
        <f>Rohdaten!AJ91-Rohdaten!AJ72</f>
        <v>-2.0000000000000018E-3</v>
      </c>
      <c r="AI69">
        <f>Rohdaten!AK91-Rohdaten!AK72</f>
        <v>2.0000000000000018E-3</v>
      </c>
      <c r="AJ69">
        <f>Rohdaten!AL91-Rohdaten!AL72</f>
        <v>5.099999999999999E-2</v>
      </c>
      <c r="AK69">
        <f>Rohdaten!AM91-Rohdaten!AM72</f>
        <v>6.0000000000000026E-2</v>
      </c>
      <c r="AL69">
        <f>Rohdaten!AN91-Rohdaten!AN72</f>
        <v>0</v>
      </c>
      <c r="AM69">
        <f>Rohdaten!AO91-Rohdaten!AO72</f>
        <v>-1.3999999999999985E-2</v>
      </c>
    </row>
    <row r="70" spans="2:39">
      <c r="B70">
        <f>Rohdaten!B92-Rohdaten!B73</f>
        <v>8.0000000000000071E-3</v>
      </c>
      <c r="C70">
        <f>Rohdaten!C92-Rohdaten!C73</f>
        <v>3.5000000000000003E-2</v>
      </c>
      <c r="D70">
        <f>Rohdaten!D92-Rohdaten!D73</f>
        <v>2.8999999999999998E-2</v>
      </c>
      <c r="E70">
        <f>Rohdaten!E92-Rohdaten!E73</f>
        <v>-9.000000000000008E-3</v>
      </c>
      <c r="F70">
        <f>Rohdaten!F92-Rohdaten!F73</f>
        <v>-3.0000000000000027E-3</v>
      </c>
      <c r="G70">
        <f>Rohdaten!G92-Rohdaten!G73</f>
        <v>-5.9999999999999915E-3</v>
      </c>
      <c r="H70">
        <f>Rohdaten!H92-Rohdaten!H73</f>
        <v>-5.0000000000000044E-3</v>
      </c>
      <c r="I70">
        <f>Rohdaten!I92-Rohdaten!I73</f>
        <v>-3.9999999999999897E-3</v>
      </c>
      <c r="J70">
        <f>Rohdaten!J92-Rohdaten!J73</f>
        <v>-8.0000000000000071E-3</v>
      </c>
      <c r="K70">
        <f>Rohdaten!K92-Rohdaten!K73</f>
        <v>2.1999999999999992E-2</v>
      </c>
      <c r="L70">
        <f>Rohdaten!L92-Rohdaten!L73</f>
        <v>-2.9999999999999888E-3</v>
      </c>
      <c r="M70">
        <f>Rohdaten!M92-Rohdaten!M73</f>
        <v>-5.0000000000000044E-3</v>
      </c>
      <c r="O70">
        <f>Rohdaten!P92-Rohdaten!P73</f>
        <v>-5.0000000000000044E-3</v>
      </c>
      <c r="P70">
        <f>Rohdaten!Q92-Rohdaten!Q73</f>
        <v>1.0999999999999996E-2</v>
      </c>
      <c r="Q70">
        <f>Rohdaten!R92-Rohdaten!R73</f>
        <v>-7.0000000000000062E-3</v>
      </c>
      <c r="R70">
        <f>Rohdaten!S92-Rohdaten!S73</f>
        <v>-1.1999999999999983E-2</v>
      </c>
      <c r="S70">
        <f>Rohdaten!T92-Rohdaten!T73</f>
        <v>-4.9999999999999906E-3</v>
      </c>
      <c r="T70">
        <f>Rohdaten!U92-Rohdaten!U73</f>
        <v>-3.9999999999999897E-3</v>
      </c>
      <c r="U70">
        <f>Rohdaten!V92-Rohdaten!V73</f>
        <v>-1.2999999999999998E-2</v>
      </c>
      <c r="V70">
        <f>Rohdaten!W92-Rohdaten!W73</f>
        <v>-9.999999999999995E-3</v>
      </c>
      <c r="W70">
        <f>Rohdaten!X92-Rohdaten!X73</f>
        <v>3.8000000000000006E-2</v>
      </c>
      <c r="X70">
        <f>Rohdaten!Y92-Rohdaten!Y73</f>
        <v>3.5000000000000003E-2</v>
      </c>
      <c r="Y70">
        <f>Rohdaten!Z92-Rohdaten!Z73</f>
        <v>-8.9999999999999941E-3</v>
      </c>
      <c r="Z70">
        <f>Rohdaten!AA92-Rohdaten!AA73</f>
        <v>-5.0000000000000044E-3</v>
      </c>
      <c r="AB70">
        <f>Rohdaten!AD92-Rohdaten!AD73</f>
        <v>-5.9999999999999915E-3</v>
      </c>
      <c r="AC70">
        <f>Rohdaten!AE92-Rohdaten!AE73</f>
        <v>1.4000000000000012E-2</v>
      </c>
      <c r="AD70">
        <f>Rohdaten!AF92-Rohdaten!AF73</f>
        <v>-4.0000000000000036E-3</v>
      </c>
      <c r="AE70">
        <f>Rohdaten!AG92-Rohdaten!AG73</f>
        <v>-1.3000000000000012E-2</v>
      </c>
      <c r="AF70">
        <f>Rohdaten!AH92-Rohdaten!AH73</f>
        <v>5.0000000000000044E-3</v>
      </c>
      <c r="AG70">
        <f>Rohdaten!AI92-Rohdaten!AI73</f>
        <v>-3.0000000000000027E-3</v>
      </c>
      <c r="AH70">
        <f>Rohdaten!AJ92-Rohdaten!AJ73</f>
        <v>-3.0000000000000027E-3</v>
      </c>
      <c r="AI70">
        <f>Rohdaten!AK92-Rohdaten!AK73</f>
        <v>-2.9999999999999888E-3</v>
      </c>
      <c r="AJ70">
        <f>Rohdaten!AL92-Rohdaten!AL73</f>
        <v>1.5000000000000013E-2</v>
      </c>
      <c r="AK70">
        <f>Rohdaten!AM92-Rohdaten!AM73</f>
        <v>1.4999999999999986E-2</v>
      </c>
      <c r="AL70">
        <f>Rohdaten!AN92-Rohdaten!AN73</f>
        <v>-2.0000000000000018E-3</v>
      </c>
      <c r="AM70">
        <f>Rohdaten!AO92-Rohdaten!AO73</f>
        <v>-1.0000000000000009E-2</v>
      </c>
    </row>
    <row r="71" spans="2:39">
      <c r="B71">
        <f>Rohdaten!B93-Rohdaten!B74</f>
        <v>0.18099999999999999</v>
      </c>
      <c r="C71">
        <f>Rohdaten!C93-Rohdaten!C74</f>
        <v>-2.0000000000000018E-3</v>
      </c>
      <c r="D71">
        <f>Rohdaten!D93-Rohdaten!D74</f>
        <v>-7.0000000000000062E-3</v>
      </c>
      <c r="E71">
        <f>Rohdaten!E93-Rohdaten!E74</f>
        <v>0.12699999999999997</v>
      </c>
      <c r="F71">
        <f>Rohdaten!F93-Rohdaten!F74</f>
        <v>-4.9999999999999767E-3</v>
      </c>
      <c r="G71">
        <f>Rohdaten!G93-Rohdaten!G74</f>
        <v>1.4000000000000012E-2</v>
      </c>
      <c r="H71">
        <f>Rohdaten!H93-Rohdaten!H74</f>
        <v>-2.0000000000000018E-3</v>
      </c>
      <c r="I71">
        <f>Rohdaten!I93-Rohdaten!I74</f>
        <v>-8.0000000000000071E-3</v>
      </c>
      <c r="J71">
        <f>Rohdaten!J93-Rohdaten!J74</f>
        <v>1.2000000000000011E-2</v>
      </c>
      <c r="K71">
        <f>Rohdaten!K93-Rohdaten!K74</f>
        <v>-5.0000000000000044E-3</v>
      </c>
      <c r="L71">
        <f>Rohdaten!L93-Rohdaten!L74</f>
        <v>4.9999999999999767E-3</v>
      </c>
      <c r="M71">
        <f>Rohdaten!M93-Rohdaten!M74</f>
        <v>-8.0000000000000071E-3</v>
      </c>
      <c r="O71">
        <f>Rohdaten!P93-Rohdaten!P74</f>
        <v>2.0000000000000018E-3</v>
      </c>
      <c r="P71">
        <f>Rohdaten!Q93-Rohdaten!Q74</f>
        <v>0</v>
      </c>
      <c r="Q71">
        <f>Rohdaten!R93-Rohdaten!R74</f>
        <v>1.2550000000000001</v>
      </c>
      <c r="R71">
        <f>Rohdaten!S93-Rohdaten!S74</f>
        <v>-6.0000000000000053E-3</v>
      </c>
      <c r="S71">
        <f>Rohdaten!T93-Rohdaten!T74</f>
        <v>-5.9999999999999776E-3</v>
      </c>
      <c r="T71">
        <f>Rohdaten!U93-Rohdaten!U74</f>
        <v>-6.0000000000000053E-3</v>
      </c>
      <c r="U71">
        <f>Rohdaten!V93-Rohdaten!V74</f>
        <v>-1.0000000000000009E-2</v>
      </c>
      <c r="V71">
        <f>Rohdaten!W93-Rohdaten!W74</f>
        <v>-6.0000000000000053E-3</v>
      </c>
      <c r="W71">
        <f>Rohdaten!X93-Rohdaten!X74</f>
        <v>4.0000000000000036E-3</v>
      </c>
      <c r="X71">
        <f>Rohdaten!Y93-Rohdaten!Y74</f>
        <v>4.2999999999999983E-2</v>
      </c>
      <c r="Y71">
        <f>Rohdaten!Z93-Rohdaten!Z74</f>
        <v>5.0000000000000044E-3</v>
      </c>
      <c r="Z71">
        <f>Rohdaten!AA93-Rohdaten!AA74</f>
        <v>-1.100000000000001E-2</v>
      </c>
      <c r="AB71">
        <f>Rohdaten!AD93-Rohdaten!AD74</f>
        <v>2.5999999999999968E-2</v>
      </c>
      <c r="AC71">
        <f>Rohdaten!AE93-Rohdaten!AE74</f>
        <v>-2.0000000000000018E-3</v>
      </c>
      <c r="AD71">
        <f>Rohdaten!AF93-Rohdaten!AF74</f>
        <v>-5.0000000000000044E-2</v>
      </c>
      <c r="AE71">
        <f>Rohdaten!AG93-Rohdaten!AG74</f>
        <v>0.1</v>
      </c>
      <c r="AF71">
        <f>Rohdaten!AH93-Rohdaten!AH74</f>
        <v>-5.0000000000000044E-3</v>
      </c>
      <c r="AG71">
        <f>Rohdaten!AI93-Rohdaten!AI74</f>
        <v>-3.9999999999999758E-3</v>
      </c>
      <c r="AH71">
        <f>Rohdaten!AJ93-Rohdaten!AJ74</f>
        <v>-5.0000000000000044E-3</v>
      </c>
      <c r="AI71">
        <f>Rohdaten!AK93-Rohdaten!AK74</f>
        <v>1.1999999999999983E-2</v>
      </c>
      <c r="AJ71">
        <f>Rohdaten!AL93-Rohdaten!AL74</f>
        <v>2.0000000000000018E-3</v>
      </c>
      <c r="AK71">
        <f>Rohdaten!AM93-Rohdaten!AM74</f>
        <v>-5.0000000000000044E-3</v>
      </c>
      <c r="AL71">
        <f>Rohdaten!AN93-Rohdaten!AN74</f>
        <v>7.0000000000000062E-3</v>
      </c>
      <c r="AM71">
        <f>Rohdaten!AO93-Rohdaten!AO74</f>
        <v>-2.0000000000000018E-3</v>
      </c>
    </row>
    <row r="72" spans="2:39">
      <c r="B72">
        <f>Rohdaten!B94-Rohdaten!B75</f>
        <v>4.2999999999999983E-2</v>
      </c>
      <c r="C72">
        <f>Rohdaten!C94-Rohdaten!C75</f>
        <v>-3.0000000000000027E-3</v>
      </c>
      <c r="D72">
        <f>Rohdaten!D94-Rohdaten!D75</f>
        <v>-6.9999999999999923E-3</v>
      </c>
      <c r="E72">
        <f>Rohdaten!E94-Rohdaten!E75</f>
        <v>2.700000000000001E-2</v>
      </c>
      <c r="F72">
        <f>Rohdaten!F94-Rohdaten!F75</f>
        <v>-5.9999999999999915E-3</v>
      </c>
      <c r="G72">
        <f>Rohdaten!G94-Rohdaten!G75</f>
        <v>-3.0000000000000027E-3</v>
      </c>
      <c r="H72">
        <f>Rohdaten!H94-Rohdaten!H75</f>
        <v>-3.0000000000000027E-3</v>
      </c>
      <c r="I72">
        <f>Rohdaten!I94-Rohdaten!I75</f>
        <v>-9.000000000000008E-3</v>
      </c>
      <c r="J72">
        <f>Rohdaten!J94-Rohdaten!J75</f>
        <v>-1.2000000000000011E-2</v>
      </c>
      <c r="K72">
        <f>Rohdaten!K94-Rohdaten!K75</f>
        <v>-4.9999999999999906E-3</v>
      </c>
      <c r="L72">
        <f>Rohdaten!L94-Rohdaten!L75</f>
        <v>-5.0000000000000044E-3</v>
      </c>
      <c r="M72">
        <f>Rohdaten!M94-Rohdaten!M75</f>
        <v>-9.000000000000008E-3</v>
      </c>
      <c r="O72">
        <f>Rohdaten!P94-Rohdaten!P75</f>
        <v>-2.9999999999999749E-3</v>
      </c>
      <c r="P72">
        <f>Rohdaten!Q94-Rohdaten!Q75</f>
        <v>-1.0000000000000009E-3</v>
      </c>
      <c r="Q72">
        <f>Rohdaten!R94-Rohdaten!R75</f>
        <v>0.34500000000000003</v>
      </c>
      <c r="R72">
        <f>Rohdaten!S94-Rohdaten!S75</f>
        <v>-6.9999999999999923E-3</v>
      </c>
      <c r="S72">
        <f>Rohdaten!T94-Rohdaten!T75</f>
        <v>-6.9999999999999923E-3</v>
      </c>
      <c r="T72">
        <f>Rohdaten!U94-Rohdaten!U75</f>
        <v>-5.9999999999999915E-3</v>
      </c>
      <c r="U72">
        <f>Rohdaten!V94-Rohdaten!V75</f>
        <v>-7.9999999999999932E-3</v>
      </c>
      <c r="V72">
        <f>Rohdaten!W94-Rohdaten!W75</f>
        <v>-7.0000000000000062E-3</v>
      </c>
      <c r="W72">
        <f>Rohdaten!X94-Rohdaten!X75</f>
        <v>-1.5000000000000013E-2</v>
      </c>
      <c r="X72">
        <f>Rohdaten!Y94-Rohdaten!Y75</f>
        <v>1.0999999999999996E-2</v>
      </c>
      <c r="Y72">
        <f>Rohdaten!Z94-Rohdaten!Z75</f>
        <v>-4.0000000000000036E-3</v>
      </c>
      <c r="Z72">
        <f>Rohdaten!AA94-Rohdaten!AA75</f>
        <v>-1.100000000000001E-2</v>
      </c>
      <c r="AB72">
        <f>Rohdaten!AD94-Rohdaten!AD75</f>
        <v>4.0000000000000036E-3</v>
      </c>
      <c r="AC72">
        <f>Rohdaten!AE94-Rohdaten!AE75</f>
        <v>-2.9999999999999888E-3</v>
      </c>
      <c r="AD72">
        <f>Rohdaten!AF94-Rohdaten!AF75</f>
        <v>-7.7999999999999958E-2</v>
      </c>
      <c r="AE72">
        <f>Rohdaten!AG94-Rohdaten!AG75</f>
        <v>2.700000000000001E-2</v>
      </c>
      <c r="AF72">
        <f>Rohdaten!AH94-Rohdaten!AH75</f>
        <v>-5.0000000000000044E-3</v>
      </c>
      <c r="AG72">
        <f>Rohdaten!AI94-Rohdaten!AI75</f>
        <v>-6.0000000000000053E-3</v>
      </c>
      <c r="AH72">
        <f>Rohdaten!AJ94-Rohdaten!AJ75</f>
        <v>-6.0000000000000053E-3</v>
      </c>
      <c r="AI72">
        <f>Rohdaten!AK94-Rohdaten!AK75</f>
        <v>1.0000000000000009E-3</v>
      </c>
      <c r="AJ72">
        <f>Rohdaten!AL94-Rohdaten!AL75</f>
        <v>-1.799999999999996E-2</v>
      </c>
      <c r="AK72">
        <f>Rohdaten!AM94-Rohdaten!AM75</f>
        <v>-2.0000000000000018E-3</v>
      </c>
      <c r="AL72">
        <f>Rohdaten!AN94-Rohdaten!AN75</f>
        <v>-3.0000000000000027E-3</v>
      </c>
      <c r="AM72">
        <f>Rohdaten!AO94-Rohdaten!AO75</f>
        <v>-3.0000000000000027E-3</v>
      </c>
    </row>
  </sheetData>
  <conditionalFormatting sqref="B3:AM1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ellIs" dxfId="8" priority="5" operator="greaterThan">
      <formula>0.047</formula>
    </cfRule>
  </conditionalFormatting>
  <conditionalFormatting sqref="B21:AM3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9:AM5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7:AM7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C96"/>
  <sheetViews>
    <sheetView tabSelected="1" topLeftCell="A58" workbookViewId="0">
      <selection activeCell="A63" sqref="A63"/>
    </sheetView>
  </sheetViews>
  <sheetFormatPr baseColWidth="10" defaultColWidth="9.140625" defaultRowHeight="15"/>
  <sheetData>
    <row r="2" spans="1:55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O2" s="1"/>
      <c r="P2" s="2">
        <v>1</v>
      </c>
      <c r="Q2" s="2">
        <v>2</v>
      </c>
      <c r="R2" s="2">
        <v>3</v>
      </c>
      <c r="S2" s="2">
        <v>4</v>
      </c>
      <c r="T2" s="2">
        <v>5</v>
      </c>
      <c r="U2" s="2">
        <v>6</v>
      </c>
      <c r="V2" s="2">
        <v>7</v>
      </c>
      <c r="W2" s="2">
        <v>8</v>
      </c>
      <c r="X2" s="2">
        <v>9</v>
      </c>
      <c r="Y2" s="2">
        <v>10</v>
      </c>
      <c r="Z2" s="2">
        <v>11</v>
      </c>
      <c r="AA2" s="2">
        <v>12</v>
      </c>
      <c r="AC2" s="1"/>
      <c r="AD2" s="2">
        <v>1</v>
      </c>
      <c r="AE2" s="2">
        <v>2</v>
      </c>
      <c r="AF2" s="2">
        <v>3</v>
      </c>
      <c r="AG2" s="2">
        <v>4</v>
      </c>
      <c r="AH2" s="2">
        <v>5</v>
      </c>
      <c r="AI2" s="2">
        <v>6</v>
      </c>
      <c r="AJ2" s="2">
        <v>7</v>
      </c>
      <c r="AK2" s="2">
        <v>8</v>
      </c>
      <c r="AL2" s="2">
        <v>9</v>
      </c>
      <c r="AM2" s="2">
        <v>10</v>
      </c>
      <c r="AN2" s="2">
        <v>11</v>
      </c>
      <c r="AO2" s="2">
        <v>12</v>
      </c>
      <c r="AQ2" s="1"/>
      <c r="AR2" s="2">
        <v>1</v>
      </c>
      <c r="AS2" s="2">
        <v>2</v>
      </c>
      <c r="AT2" s="2">
        <v>3</v>
      </c>
      <c r="AU2" s="2">
        <v>4</v>
      </c>
      <c r="AV2" s="2">
        <v>5</v>
      </c>
      <c r="AW2" s="2">
        <v>6</v>
      </c>
      <c r="AX2" s="2">
        <v>7</v>
      </c>
      <c r="AY2" s="2">
        <v>8</v>
      </c>
      <c r="AZ2" s="2">
        <v>9</v>
      </c>
      <c r="BA2" s="2">
        <v>10</v>
      </c>
      <c r="BB2" s="2">
        <v>11</v>
      </c>
      <c r="BC2" s="2">
        <v>12</v>
      </c>
    </row>
    <row r="3" spans="1:55">
      <c r="A3" s="54" t="s">
        <v>0</v>
      </c>
      <c r="B3" s="6">
        <v>0.14899999999999999</v>
      </c>
      <c r="C3" s="6">
        <v>0.17199999999999999</v>
      </c>
      <c r="D3" s="6">
        <v>0.19600000000000001</v>
      </c>
      <c r="E3" s="6">
        <v>0.20100000000000001</v>
      </c>
      <c r="F3" s="6">
        <v>0.14000000000000001</v>
      </c>
      <c r="G3" s="6">
        <v>0.193</v>
      </c>
      <c r="H3" s="6">
        <v>0.13</v>
      </c>
      <c r="I3" s="6">
        <v>0.152</v>
      </c>
      <c r="J3" s="6">
        <v>0.153</v>
      </c>
      <c r="K3" s="3">
        <v>0.55600000000000005</v>
      </c>
      <c r="L3" s="6">
        <v>0.189</v>
      </c>
      <c r="M3" s="5">
        <v>0.30099999999999999</v>
      </c>
      <c r="N3" s="7">
        <v>490</v>
      </c>
      <c r="O3" s="54" t="s">
        <v>0</v>
      </c>
      <c r="P3" s="6">
        <v>0.14699999999999999</v>
      </c>
      <c r="Q3" s="6">
        <v>0.13600000000000001</v>
      </c>
      <c r="R3" s="6">
        <v>0.14299999999999999</v>
      </c>
      <c r="S3" s="6">
        <v>0.16</v>
      </c>
      <c r="T3" s="6">
        <v>0.14399999999999999</v>
      </c>
      <c r="U3" s="5">
        <v>0.19800000000000001</v>
      </c>
      <c r="V3" s="6">
        <v>0.156</v>
      </c>
      <c r="W3" s="6">
        <v>0.156</v>
      </c>
      <c r="X3" s="6">
        <v>0.159</v>
      </c>
      <c r="Y3" s="20">
        <v>0.53300000000000003</v>
      </c>
      <c r="Z3" s="6">
        <v>0.157</v>
      </c>
      <c r="AA3" s="4">
        <v>0.32200000000000001</v>
      </c>
      <c r="AB3" s="7">
        <v>490</v>
      </c>
      <c r="AC3" s="54" t="s">
        <v>0</v>
      </c>
      <c r="AD3" s="6">
        <v>0.14499999999999999</v>
      </c>
      <c r="AE3" s="6">
        <v>0.14699999999999999</v>
      </c>
      <c r="AF3" s="6">
        <v>0.14199999999999999</v>
      </c>
      <c r="AG3" s="6">
        <v>0.186</v>
      </c>
      <c r="AH3" s="6">
        <v>0.14799999999999999</v>
      </c>
      <c r="AI3" s="6">
        <v>0.19600000000000001</v>
      </c>
      <c r="AJ3" s="6">
        <v>0.152</v>
      </c>
      <c r="AK3" s="5">
        <v>0.248</v>
      </c>
      <c r="AL3" s="6">
        <v>0.184</v>
      </c>
      <c r="AM3" s="3">
        <v>0.504</v>
      </c>
      <c r="AN3" s="6">
        <v>0.157</v>
      </c>
      <c r="AO3" s="4">
        <v>0.312</v>
      </c>
      <c r="AP3" s="7">
        <v>490</v>
      </c>
      <c r="AQ3" s="54" t="s">
        <v>0</v>
      </c>
      <c r="AR3" s="3">
        <v>0.25800000000000001</v>
      </c>
      <c r="AS3" s="3">
        <v>0.24</v>
      </c>
      <c r="AT3" s="3">
        <v>0.23300000000000001</v>
      </c>
      <c r="AU3" s="4">
        <v>0.20300000000000001</v>
      </c>
      <c r="AV3" s="4">
        <v>0.20100000000000001</v>
      </c>
      <c r="AW3" s="3">
        <v>0.23699999999999999</v>
      </c>
      <c r="AX3" s="4">
        <v>0.19900000000000001</v>
      </c>
      <c r="AY3" s="5">
        <v>0.17299999999999999</v>
      </c>
      <c r="AZ3" s="6">
        <v>0.13100000000000001</v>
      </c>
      <c r="BA3" s="5">
        <v>0.157</v>
      </c>
      <c r="BB3" s="5">
        <v>0.17699999999999999</v>
      </c>
      <c r="BC3" s="5">
        <v>0.17699999999999999</v>
      </c>
    </row>
    <row r="4" spans="1:55">
      <c r="A4" s="55"/>
      <c r="B4" s="14">
        <v>0.10199999999999999</v>
      </c>
      <c r="C4" s="14">
        <v>0.108</v>
      </c>
      <c r="D4" s="21">
        <v>0.121</v>
      </c>
      <c r="E4" s="21">
        <v>0.125</v>
      </c>
      <c r="F4" s="14">
        <v>0.1</v>
      </c>
      <c r="G4" s="21">
        <v>0.12</v>
      </c>
      <c r="H4" s="14">
        <v>8.7999999999999995E-2</v>
      </c>
      <c r="I4" s="14">
        <v>9.8000000000000004E-2</v>
      </c>
      <c r="J4" s="14">
        <v>0.107</v>
      </c>
      <c r="K4" s="11">
        <v>0.318</v>
      </c>
      <c r="L4" s="21">
        <v>0.113</v>
      </c>
      <c r="M4" s="28">
        <v>0.17199999999999999</v>
      </c>
      <c r="N4" s="7">
        <v>750</v>
      </c>
      <c r="O4" s="55"/>
      <c r="P4" s="21">
        <v>0.10100000000000001</v>
      </c>
      <c r="Q4" s="14">
        <v>9.2999999999999999E-2</v>
      </c>
      <c r="R4" s="21">
        <v>0.10100000000000001</v>
      </c>
      <c r="S4" s="21">
        <v>0.111</v>
      </c>
      <c r="T4" s="21">
        <v>0.10299999999999999</v>
      </c>
      <c r="U4" s="21">
        <v>0.124</v>
      </c>
      <c r="V4" s="21">
        <v>0.106</v>
      </c>
      <c r="W4" s="21">
        <v>0.10100000000000001</v>
      </c>
      <c r="X4" s="21">
        <v>0.112</v>
      </c>
      <c r="Y4" s="12">
        <v>0.307</v>
      </c>
      <c r="Z4" s="21">
        <v>0.106</v>
      </c>
      <c r="AA4" s="29">
        <v>0.18</v>
      </c>
      <c r="AB4" s="7">
        <v>750</v>
      </c>
      <c r="AC4" s="55"/>
      <c r="AD4" s="21">
        <v>0.1</v>
      </c>
      <c r="AE4" s="21">
        <v>0.1</v>
      </c>
      <c r="AF4" s="21">
        <v>0.1</v>
      </c>
      <c r="AG4" s="21">
        <v>0.122</v>
      </c>
      <c r="AH4" s="21">
        <v>0.104</v>
      </c>
      <c r="AI4" s="21">
        <v>0.122</v>
      </c>
      <c r="AJ4" s="21">
        <v>0.112</v>
      </c>
      <c r="AK4" s="28">
        <v>0.13900000000000001</v>
      </c>
      <c r="AL4" s="21">
        <v>0.121</v>
      </c>
      <c r="AM4" s="11">
        <v>0.28899999999999998</v>
      </c>
      <c r="AN4" s="21">
        <v>0.108</v>
      </c>
      <c r="AO4" s="29">
        <v>0.17699999999999999</v>
      </c>
      <c r="AP4" s="7">
        <v>750</v>
      </c>
      <c r="AQ4" s="55"/>
      <c r="AR4" s="8">
        <v>0.251</v>
      </c>
      <c r="AS4" s="9">
        <v>0.24299999999999999</v>
      </c>
      <c r="AT4" s="10">
        <v>0.22900000000000001</v>
      </c>
      <c r="AU4" s="11">
        <v>0.18</v>
      </c>
      <c r="AV4" s="12">
        <v>0.19400000000000001</v>
      </c>
      <c r="AW4" s="10">
        <v>0.216</v>
      </c>
      <c r="AX4" s="12">
        <v>0.19</v>
      </c>
      <c r="AY4" s="13">
        <v>0.14099999999999999</v>
      </c>
      <c r="AZ4" s="14">
        <v>6.4000000000000001E-2</v>
      </c>
      <c r="BA4" s="13">
        <v>0.13900000000000001</v>
      </c>
      <c r="BB4" s="11">
        <v>0.16700000000000001</v>
      </c>
      <c r="BC4" s="14">
        <v>6.9000000000000006E-2</v>
      </c>
    </row>
    <row r="5" spans="1:55">
      <c r="A5" s="54" t="s">
        <v>1</v>
      </c>
      <c r="B5" s="6">
        <v>0.14899999999999999</v>
      </c>
      <c r="C5" s="6">
        <v>0.13600000000000001</v>
      </c>
      <c r="D5" s="5">
        <v>0.247</v>
      </c>
      <c r="E5" s="4">
        <v>0.33600000000000002</v>
      </c>
      <c r="F5" s="3">
        <v>0.44900000000000001</v>
      </c>
      <c r="G5" s="22">
        <v>0.75800000000000001</v>
      </c>
      <c r="H5" s="3">
        <v>0.48799999999999999</v>
      </c>
      <c r="I5" s="6">
        <v>0.16700000000000001</v>
      </c>
      <c r="J5" s="4">
        <v>0.34699999999999998</v>
      </c>
      <c r="K5" s="16">
        <v>0.81200000000000006</v>
      </c>
      <c r="L5" s="6">
        <v>0.20899999999999999</v>
      </c>
      <c r="M5" s="6">
        <v>0.13900000000000001</v>
      </c>
      <c r="N5" s="7">
        <v>490</v>
      </c>
      <c r="O5" s="54" t="s">
        <v>1</v>
      </c>
      <c r="P5" s="6">
        <v>0.151</v>
      </c>
      <c r="Q5" s="6">
        <v>0.13100000000000001</v>
      </c>
      <c r="R5" s="5">
        <v>0.22</v>
      </c>
      <c r="S5" s="3">
        <v>0.4</v>
      </c>
      <c r="T5" s="3">
        <v>0.46200000000000002</v>
      </c>
      <c r="U5" s="16">
        <v>0.71499999999999997</v>
      </c>
      <c r="V5" s="20">
        <v>0.53700000000000003</v>
      </c>
      <c r="W5" s="5">
        <v>0.222</v>
      </c>
      <c r="X5" s="3">
        <v>0.41</v>
      </c>
      <c r="Y5" s="16">
        <v>0.71799999999999997</v>
      </c>
      <c r="Z5" s="3">
        <v>0.44</v>
      </c>
      <c r="AA5" s="6">
        <v>0.14099999999999999</v>
      </c>
      <c r="AB5" s="7">
        <v>490</v>
      </c>
      <c r="AC5" s="54" t="s">
        <v>1</v>
      </c>
      <c r="AD5" s="6">
        <v>0.151</v>
      </c>
      <c r="AE5" s="6">
        <v>0.13600000000000001</v>
      </c>
      <c r="AF5" s="6">
        <v>0.19800000000000001</v>
      </c>
      <c r="AG5" s="4">
        <v>0.36199999999999999</v>
      </c>
      <c r="AH5" s="4">
        <v>0.372</v>
      </c>
      <c r="AI5" s="22">
        <v>0.68600000000000005</v>
      </c>
      <c r="AJ5" s="3">
        <v>0.499</v>
      </c>
      <c r="AK5" s="6">
        <v>0.19400000000000001</v>
      </c>
      <c r="AL5" s="5">
        <v>0.29299999999999998</v>
      </c>
      <c r="AM5" s="16">
        <v>0.747</v>
      </c>
      <c r="AN5" s="6">
        <v>0.19400000000000001</v>
      </c>
      <c r="AO5" s="6">
        <v>0.14099999999999999</v>
      </c>
      <c r="AP5" s="7">
        <v>490</v>
      </c>
      <c r="AQ5" s="54" t="s">
        <v>1</v>
      </c>
      <c r="AR5" s="3">
        <v>0.255</v>
      </c>
      <c r="AS5" s="3">
        <v>0.23599999999999999</v>
      </c>
      <c r="AT5" s="3">
        <v>0.26100000000000001</v>
      </c>
      <c r="AU5" s="5">
        <v>0.16800000000000001</v>
      </c>
      <c r="AV5" s="15">
        <v>0.41799999999999998</v>
      </c>
      <c r="AW5" s="3">
        <v>0.23300000000000001</v>
      </c>
      <c r="AX5" s="3">
        <v>0.24399999999999999</v>
      </c>
      <c r="AY5" s="5">
        <v>0.159</v>
      </c>
      <c r="AZ5" s="16">
        <v>0.34100000000000003</v>
      </c>
      <c r="BA5" s="4">
        <v>0.187</v>
      </c>
      <c r="BB5" s="5">
        <v>0.17699999999999999</v>
      </c>
      <c r="BC5" s="4">
        <v>0.216</v>
      </c>
    </row>
    <row r="6" spans="1:55">
      <c r="A6" s="55"/>
      <c r="B6" s="14">
        <v>0.10299999999999999</v>
      </c>
      <c r="C6" s="14">
        <v>9.5000000000000001E-2</v>
      </c>
      <c r="D6" s="21">
        <v>0.13</v>
      </c>
      <c r="E6" s="29">
        <v>0.20799999999999999</v>
      </c>
      <c r="F6" s="21">
        <v>0.13300000000000001</v>
      </c>
      <c r="G6" s="18">
        <v>0.374</v>
      </c>
      <c r="H6" s="11">
        <v>0.307</v>
      </c>
      <c r="I6" s="21">
        <v>0.111</v>
      </c>
      <c r="J6" s="21">
        <v>0.11</v>
      </c>
      <c r="K6" s="8">
        <v>0.48799999999999999</v>
      </c>
      <c r="L6" s="21">
        <v>0.13800000000000001</v>
      </c>
      <c r="M6" s="14">
        <v>8.8999999999999996E-2</v>
      </c>
      <c r="N6" s="7">
        <v>750</v>
      </c>
      <c r="O6" s="55"/>
      <c r="P6" s="21">
        <v>0.10299999999999999</v>
      </c>
      <c r="Q6" s="14">
        <v>9.0999999999999998E-2</v>
      </c>
      <c r="R6" s="21">
        <v>0.128</v>
      </c>
      <c r="S6" s="17">
        <v>0.23899999999999999</v>
      </c>
      <c r="T6" s="28">
        <v>0.13500000000000001</v>
      </c>
      <c r="U6" s="10">
        <v>0.35599999999999998</v>
      </c>
      <c r="V6" s="18">
        <v>0.33200000000000002</v>
      </c>
      <c r="W6" s="28">
        <v>0.14899999999999999</v>
      </c>
      <c r="X6" s="21">
        <v>0.124</v>
      </c>
      <c r="Y6" s="8">
        <v>0.42699999999999999</v>
      </c>
      <c r="Z6" s="29">
        <v>0.182</v>
      </c>
      <c r="AA6" s="14">
        <v>9.0999999999999998E-2</v>
      </c>
      <c r="AB6" s="7">
        <v>750</v>
      </c>
      <c r="AC6" s="55"/>
      <c r="AD6" s="21">
        <v>0.104</v>
      </c>
      <c r="AE6" s="14">
        <v>9.4E-2</v>
      </c>
      <c r="AF6" s="21">
        <v>0.125</v>
      </c>
      <c r="AG6" s="17">
        <v>0.248</v>
      </c>
      <c r="AH6" s="21">
        <v>0.129</v>
      </c>
      <c r="AI6" s="12">
        <v>0.33900000000000002</v>
      </c>
      <c r="AJ6" s="12">
        <v>0.32400000000000001</v>
      </c>
      <c r="AK6" s="21">
        <v>0.112</v>
      </c>
      <c r="AL6" s="21">
        <v>0.10299999999999999</v>
      </c>
      <c r="AM6" s="8">
        <v>0.45100000000000001</v>
      </c>
      <c r="AN6" s="28">
        <v>0.13400000000000001</v>
      </c>
      <c r="AO6" s="14">
        <v>9.1999999999999998E-2</v>
      </c>
      <c r="AP6" s="7">
        <v>750</v>
      </c>
      <c r="AQ6" s="55"/>
      <c r="AR6" s="8">
        <v>0.25700000000000001</v>
      </c>
      <c r="AS6" s="9">
        <v>0.247</v>
      </c>
      <c r="AT6" s="9">
        <v>0.23300000000000001</v>
      </c>
      <c r="AU6" s="17">
        <v>0.161</v>
      </c>
      <c r="AV6" s="18">
        <v>0.20499999999999999</v>
      </c>
      <c r="AW6" s="9">
        <v>0.23599999999999999</v>
      </c>
      <c r="AX6" s="8">
        <v>0.251</v>
      </c>
      <c r="AY6" s="17">
        <v>0.15</v>
      </c>
      <c r="AZ6" s="11">
        <v>0.16600000000000001</v>
      </c>
      <c r="BA6" s="12">
        <v>0.188</v>
      </c>
      <c r="BB6" s="11">
        <v>0.16800000000000001</v>
      </c>
      <c r="BC6" s="18">
        <v>0.20200000000000001</v>
      </c>
    </row>
    <row r="7" spans="1:55">
      <c r="A7" s="54" t="s">
        <v>2</v>
      </c>
      <c r="B7" s="5">
        <v>0.26900000000000002</v>
      </c>
      <c r="C7" s="6">
        <v>0.13800000000000001</v>
      </c>
      <c r="D7" s="6">
        <v>0.152</v>
      </c>
      <c r="E7" s="22">
        <v>0.77600000000000002</v>
      </c>
      <c r="F7" s="5">
        <v>0.23599999999999999</v>
      </c>
      <c r="G7" s="6">
        <v>0.17499999999999999</v>
      </c>
      <c r="H7" s="6">
        <v>0.16</v>
      </c>
      <c r="I7" s="6">
        <v>0.20699999999999999</v>
      </c>
      <c r="J7" s="6">
        <v>0.159</v>
      </c>
      <c r="K7" s="6">
        <v>0.16</v>
      </c>
      <c r="L7" s="6">
        <v>0.156</v>
      </c>
      <c r="M7" s="15">
        <v>1.0029999999999999</v>
      </c>
      <c r="N7" s="7">
        <v>490</v>
      </c>
      <c r="O7" s="54" t="s">
        <v>2</v>
      </c>
      <c r="P7" s="6">
        <v>0.16</v>
      </c>
      <c r="Q7" s="6">
        <v>0.14699999999999999</v>
      </c>
      <c r="R7" s="6">
        <v>0.17299999999999999</v>
      </c>
      <c r="S7" s="15">
        <v>0.84899999999999998</v>
      </c>
      <c r="T7" s="4">
        <v>0.29399999999999998</v>
      </c>
      <c r="U7" s="6">
        <v>0.159</v>
      </c>
      <c r="V7" s="5">
        <v>0.19900000000000001</v>
      </c>
      <c r="W7" s="5">
        <v>0.21</v>
      </c>
      <c r="X7" s="5">
        <v>0.2</v>
      </c>
      <c r="Y7" s="5">
        <v>0.19500000000000001</v>
      </c>
      <c r="Z7" s="6">
        <v>0.16300000000000001</v>
      </c>
      <c r="AA7" s="24">
        <v>0.94899999999999995</v>
      </c>
      <c r="AB7" s="7">
        <v>490</v>
      </c>
      <c r="AC7" s="54" t="s">
        <v>2</v>
      </c>
      <c r="AD7" s="5">
        <v>0.218</v>
      </c>
      <c r="AE7" s="6">
        <v>0.14499999999999999</v>
      </c>
      <c r="AF7" s="6">
        <v>0.152</v>
      </c>
      <c r="AG7" s="16">
        <v>0.82599999999999996</v>
      </c>
      <c r="AH7" s="20">
        <v>0.59499999999999997</v>
      </c>
      <c r="AI7" s="6">
        <v>0.154</v>
      </c>
      <c r="AJ7" s="6">
        <v>0.16200000000000001</v>
      </c>
      <c r="AK7" s="6">
        <v>0.184</v>
      </c>
      <c r="AL7" s="6">
        <v>0.157</v>
      </c>
      <c r="AM7" s="5">
        <v>0.21299999999999999</v>
      </c>
      <c r="AN7" s="6">
        <v>0.153</v>
      </c>
      <c r="AO7" s="23">
        <v>0.99199999999999999</v>
      </c>
      <c r="AP7" s="7">
        <v>490</v>
      </c>
      <c r="AQ7" s="54" t="s">
        <v>2</v>
      </c>
      <c r="AR7" s="3">
        <v>0.26100000000000001</v>
      </c>
      <c r="AS7" s="4">
        <v>0.221</v>
      </c>
      <c r="AT7" s="4">
        <v>0.218</v>
      </c>
      <c r="AU7" s="5">
        <v>0.17699999999999999</v>
      </c>
      <c r="AV7" s="4">
        <v>0.19</v>
      </c>
      <c r="AW7" s="5">
        <v>0.159</v>
      </c>
      <c r="AX7" s="3">
        <v>0.25900000000000001</v>
      </c>
      <c r="AY7" s="4">
        <v>0.19500000000000001</v>
      </c>
      <c r="AZ7" s="5">
        <v>0.17799999999999999</v>
      </c>
      <c r="BA7" s="6">
        <v>0.13100000000000001</v>
      </c>
      <c r="BB7" s="6">
        <v>0.13800000000000001</v>
      </c>
      <c r="BC7" s="3">
        <v>0.22900000000000001</v>
      </c>
    </row>
    <row r="8" spans="1:55">
      <c r="A8" s="55"/>
      <c r="B8" s="21">
        <v>0.13400000000000001</v>
      </c>
      <c r="C8" s="14">
        <v>9.4E-2</v>
      </c>
      <c r="D8" s="14">
        <v>0.106</v>
      </c>
      <c r="E8" s="9">
        <v>0.45400000000000001</v>
      </c>
      <c r="F8" s="28">
        <v>0.16</v>
      </c>
      <c r="G8" s="21">
        <v>0.11600000000000001</v>
      </c>
      <c r="H8" s="21">
        <v>0.11</v>
      </c>
      <c r="I8" s="14">
        <v>0.10299999999999999</v>
      </c>
      <c r="J8" s="21">
        <v>0.111</v>
      </c>
      <c r="K8" s="14">
        <v>0.108</v>
      </c>
      <c r="L8" s="21">
        <v>0.111</v>
      </c>
      <c r="M8" s="26">
        <v>0.56899999999999995</v>
      </c>
      <c r="N8" s="7">
        <v>750</v>
      </c>
      <c r="O8" s="55"/>
      <c r="P8" s="21">
        <v>0.107</v>
      </c>
      <c r="Q8" s="21">
        <v>0.1</v>
      </c>
      <c r="R8" s="21">
        <v>0.114</v>
      </c>
      <c r="S8" s="26">
        <v>0.48799999999999999</v>
      </c>
      <c r="T8" s="13">
        <v>0.19500000000000001</v>
      </c>
      <c r="U8" s="21">
        <v>0.112</v>
      </c>
      <c r="V8" s="21">
        <v>0.114</v>
      </c>
      <c r="W8" s="21">
        <v>0.107</v>
      </c>
      <c r="X8" s="28">
        <v>0.13900000000000001</v>
      </c>
      <c r="Y8" s="21">
        <v>0.105</v>
      </c>
      <c r="Z8" s="21">
        <v>0.114</v>
      </c>
      <c r="AA8" s="26">
        <v>0.51700000000000002</v>
      </c>
      <c r="AB8" s="7">
        <v>750</v>
      </c>
      <c r="AC8" s="55"/>
      <c r="AD8" s="21">
        <v>0.112</v>
      </c>
      <c r="AE8" s="21">
        <v>0.1</v>
      </c>
      <c r="AF8" s="21">
        <v>0.106</v>
      </c>
      <c r="AG8" s="19">
        <v>0.498</v>
      </c>
      <c r="AH8" s="18">
        <v>0.36399999999999999</v>
      </c>
      <c r="AI8" s="21">
        <v>0.109</v>
      </c>
      <c r="AJ8" s="21">
        <v>0.112</v>
      </c>
      <c r="AK8" s="21">
        <v>0.105</v>
      </c>
      <c r="AL8" s="21">
        <v>0.11</v>
      </c>
      <c r="AM8" s="28">
        <v>0.14599999999999999</v>
      </c>
      <c r="AN8" s="21">
        <v>0.11</v>
      </c>
      <c r="AO8" s="26">
        <v>0.55300000000000005</v>
      </c>
      <c r="AP8" s="7">
        <v>750</v>
      </c>
      <c r="AQ8" s="55"/>
      <c r="AR8" s="8">
        <v>0.251</v>
      </c>
      <c r="AS8" s="10">
        <v>0.22800000000000001</v>
      </c>
      <c r="AT8" s="10">
        <v>0.22800000000000001</v>
      </c>
      <c r="AU8" s="11">
        <v>0.18</v>
      </c>
      <c r="AV8" s="12">
        <v>0.192</v>
      </c>
      <c r="AW8" s="17">
        <v>0.154</v>
      </c>
      <c r="AX8" s="19">
        <v>0.26700000000000002</v>
      </c>
      <c r="AY8" s="12">
        <v>0.19400000000000001</v>
      </c>
      <c r="AZ8" s="11">
        <v>0.18099999999999999</v>
      </c>
      <c r="BA8" s="13">
        <v>0.13500000000000001</v>
      </c>
      <c r="BB8" s="13">
        <v>0.13800000000000001</v>
      </c>
      <c r="BC8" s="17">
        <v>0.16500000000000001</v>
      </c>
    </row>
    <row r="9" spans="1:55">
      <c r="A9" s="54" t="s">
        <v>3</v>
      </c>
      <c r="B9" s="5">
        <v>0.28799999999999998</v>
      </c>
      <c r="C9" s="6">
        <v>0.14499999999999999</v>
      </c>
      <c r="D9" s="6">
        <v>0.14699999999999999</v>
      </c>
      <c r="E9" s="6">
        <v>0.15</v>
      </c>
      <c r="F9" s="6">
        <v>0.14599999999999999</v>
      </c>
      <c r="G9" s="5">
        <v>0.29599999999999999</v>
      </c>
      <c r="H9" s="20">
        <v>0.63400000000000001</v>
      </c>
      <c r="I9" s="20">
        <v>0.65100000000000002</v>
      </c>
      <c r="J9" s="6">
        <v>0.14000000000000001</v>
      </c>
      <c r="K9" s="25">
        <v>1.69</v>
      </c>
      <c r="L9" s="6">
        <v>0.14299999999999999</v>
      </c>
      <c r="M9" s="6">
        <v>0.14099999999999999</v>
      </c>
      <c r="N9" s="7">
        <v>490</v>
      </c>
      <c r="O9" s="54" t="s">
        <v>3</v>
      </c>
      <c r="P9" s="6">
        <v>0.152</v>
      </c>
      <c r="Q9" s="6">
        <v>0.14499999999999999</v>
      </c>
      <c r="R9" s="5">
        <v>0.217</v>
      </c>
      <c r="S9" s="6">
        <v>0.153</v>
      </c>
      <c r="T9" s="5">
        <v>0.21299999999999999</v>
      </c>
      <c r="U9" s="4">
        <v>0.34</v>
      </c>
      <c r="V9" s="16">
        <v>0.68600000000000005</v>
      </c>
      <c r="W9" s="23">
        <v>0.88200000000000001</v>
      </c>
      <c r="X9" s="6">
        <v>0.17199999999999999</v>
      </c>
      <c r="Y9" s="6">
        <v>0.159</v>
      </c>
      <c r="Z9" s="6">
        <v>0.14499999999999999</v>
      </c>
      <c r="AA9" s="6">
        <v>0.14000000000000001</v>
      </c>
      <c r="AB9" s="7">
        <v>490</v>
      </c>
      <c r="AC9" s="54" t="s">
        <v>3</v>
      </c>
      <c r="AD9" s="4">
        <v>0.37</v>
      </c>
      <c r="AE9" s="6">
        <v>0.14599999999999999</v>
      </c>
      <c r="AF9" s="6">
        <v>0.18099999999999999</v>
      </c>
      <c r="AG9" s="6">
        <v>0.16500000000000001</v>
      </c>
      <c r="AH9" s="6">
        <v>0.159</v>
      </c>
      <c r="AI9" s="5">
        <v>0.26700000000000002</v>
      </c>
      <c r="AJ9" s="22">
        <v>0.73799999999999999</v>
      </c>
      <c r="AK9" s="16">
        <v>0.82899999999999996</v>
      </c>
      <c r="AL9" s="6">
        <v>0.14399999999999999</v>
      </c>
      <c r="AM9" s="6">
        <v>0.16400000000000001</v>
      </c>
      <c r="AN9" s="6">
        <v>0.14099999999999999</v>
      </c>
      <c r="AO9" s="6">
        <v>0.14000000000000001</v>
      </c>
      <c r="AP9" s="7">
        <v>490</v>
      </c>
      <c r="AQ9" s="54" t="s">
        <v>3</v>
      </c>
      <c r="AR9" s="6">
        <v>0.123</v>
      </c>
      <c r="AS9" s="4">
        <v>0.20899999999999999</v>
      </c>
      <c r="AT9" s="4">
        <v>0.19700000000000001</v>
      </c>
      <c r="AU9" s="4">
        <v>0.192</v>
      </c>
      <c r="AV9" s="5">
        <v>0.156</v>
      </c>
      <c r="AW9" s="3">
        <v>0.22500000000000001</v>
      </c>
      <c r="AX9" s="20">
        <v>0.27400000000000002</v>
      </c>
      <c r="AY9" s="4">
        <v>0.19900000000000001</v>
      </c>
      <c r="AZ9" s="4">
        <v>0.191</v>
      </c>
      <c r="BA9" s="4">
        <v>0.186</v>
      </c>
      <c r="BB9" s="5">
        <v>0.18099999999999999</v>
      </c>
      <c r="BC9" s="4">
        <v>0.19800000000000001</v>
      </c>
    </row>
    <row r="10" spans="1:55">
      <c r="A10" s="55"/>
      <c r="B10" s="28">
        <v>0.16</v>
      </c>
      <c r="C10" s="14">
        <v>0.10299999999999999</v>
      </c>
      <c r="D10" s="14">
        <v>0.10199999999999999</v>
      </c>
      <c r="E10" s="14">
        <v>0.08</v>
      </c>
      <c r="F10" s="14">
        <v>0.10199999999999999</v>
      </c>
      <c r="G10" s="28">
        <v>0.14899999999999999</v>
      </c>
      <c r="H10" s="17">
        <v>0.28100000000000003</v>
      </c>
      <c r="I10" s="11">
        <v>0.317</v>
      </c>
      <c r="J10" s="14">
        <v>9.5000000000000001E-2</v>
      </c>
      <c r="K10" s="26">
        <v>0.59799999999999998</v>
      </c>
      <c r="L10" s="14">
        <v>0.1</v>
      </c>
      <c r="M10" s="14">
        <v>9.8000000000000004E-2</v>
      </c>
      <c r="N10" s="7">
        <v>750</v>
      </c>
      <c r="O10" s="55"/>
      <c r="P10" s="21">
        <v>0.10299999999999999</v>
      </c>
      <c r="Q10" s="21">
        <v>0.10199999999999999</v>
      </c>
      <c r="R10" s="21">
        <v>0.12</v>
      </c>
      <c r="S10" s="14">
        <v>0.08</v>
      </c>
      <c r="T10" s="28">
        <v>0.13300000000000001</v>
      </c>
      <c r="U10" s="28">
        <v>0.151</v>
      </c>
      <c r="V10" s="12">
        <v>0.307</v>
      </c>
      <c r="W10" s="26">
        <v>0.5</v>
      </c>
      <c r="X10" s="14">
        <v>9.7000000000000003E-2</v>
      </c>
      <c r="Y10" s="21">
        <v>0.113</v>
      </c>
      <c r="Z10" s="21">
        <v>0.10100000000000001</v>
      </c>
      <c r="AA10" s="14">
        <v>9.7000000000000003E-2</v>
      </c>
      <c r="AB10" s="7">
        <v>750</v>
      </c>
      <c r="AC10" s="55"/>
      <c r="AD10" s="13">
        <v>0.20799999999999999</v>
      </c>
      <c r="AE10" s="21">
        <v>0.10199999999999999</v>
      </c>
      <c r="AF10" s="21">
        <v>0.11799999999999999</v>
      </c>
      <c r="AG10" s="21">
        <v>0.10199999999999999</v>
      </c>
      <c r="AH10" s="21">
        <v>0.111</v>
      </c>
      <c r="AI10" s="28">
        <v>0.15</v>
      </c>
      <c r="AJ10" s="12">
        <v>0.34100000000000003</v>
      </c>
      <c r="AK10" s="9">
        <v>0.42899999999999999</v>
      </c>
      <c r="AL10" s="21">
        <v>9.8000000000000004E-2</v>
      </c>
      <c r="AM10" s="21">
        <v>0.11700000000000001</v>
      </c>
      <c r="AN10" s="21">
        <v>0.1</v>
      </c>
      <c r="AO10" s="21">
        <v>9.8000000000000004E-2</v>
      </c>
      <c r="AP10" s="7">
        <v>750</v>
      </c>
      <c r="AQ10" s="55"/>
      <c r="AR10" s="21">
        <v>9.4E-2</v>
      </c>
      <c r="AS10" s="10">
        <v>0.221</v>
      </c>
      <c r="AT10" s="18">
        <v>0.20100000000000001</v>
      </c>
      <c r="AU10" s="17">
        <v>0.159</v>
      </c>
      <c r="AV10" s="17">
        <v>0.152</v>
      </c>
      <c r="AW10" s="17">
        <v>0.158</v>
      </c>
      <c r="AX10" s="19">
        <v>0.27700000000000002</v>
      </c>
      <c r="AY10" s="18">
        <v>0.19900000000000001</v>
      </c>
      <c r="AZ10" s="12">
        <v>0.19700000000000001</v>
      </c>
      <c r="BA10" s="12">
        <v>0.193</v>
      </c>
      <c r="BB10" s="12">
        <v>0.184</v>
      </c>
      <c r="BC10" s="11">
        <v>0.17799999999999999</v>
      </c>
    </row>
    <row r="11" spans="1:55">
      <c r="A11" s="54" t="s">
        <v>4</v>
      </c>
      <c r="B11" s="6">
        <v>0.106</v>
      </c>
      <c r="C11" s="6">
        <v>0.13200000000000001</v>
      </c>
      <c r="D11" s="6">
        <v>0.14399999999999999</v>
      </c>
      <c r="E11" s="5">
        <v>0.28999999999999998</v>
      </c>
      <c r="F11" s="4">
        <v>0.435</v>
      </c>
      <c r="G11" s="6">
        <v>0.157</v>
      </c>
      <c r="H11" s="6">
        <v>0.155</v>
      </c>
      <c r="I11" s="24">
        <v>1.151</v>
      </c>
      <c r="J11" s="16">
        <v>0.88900000000000001</v>
      </c>
      <c r="K11" s="6">
        <v>0.151</v>
      </c>
      <c r="L11" s="6">
        <v>0.13800000000000001</v>
      </c>
      <c r="M11" s="4">
        <v>0.432</v>
      </c>
      <c r="N11" s="7">
        <v>490</v>
      </c>
      <c r="O11" s="54" t="s">
        <v>4</v>
      </c>
      <c r="P11" s="6">
        <v>0.1</v>
      </c>
      <c r="Q11" s="6">
        <v>0.13</v>
      </c>
      <c r="R11" s="6">
        <v>0.14799999999999999</v>
      </c>
      <c r="S11" s="4">
        <v>0.29099999999999998</v>
      </c>
      <c r="T11" s="3">
        <v>0.45900000000000002</v>
      </c>
      <c r="U11" s="6">
        <v>0.187</v>
      </c>
      <c r="V11" s="6">
        <v>0.16200000000000001</v>
      </c>
      <c r="W11" s="6">
        <v>0.191</v>
      </c>
      <c r="X11" s="22">
        <v>0.66200000000000003</v>
      </c>
      <c r="Y11" s="6">
        <v>0.153</v>
      </c>
      <c r="Z11" s="6">
        <v>0.16900000000000001</v>
      </c>
      <c r="AA11" s="3">
        <v>0.45800000000000002</v>
      </c>
      <c r="AB11" s="7">
        <v>490</v>
      </c>
      <c r="AC11" s="54" t="s">
        <v>4</v>
      </c>
      <c r="AD11" s="6">
        <v>0.09</v>
      </c>
      <c r="AE11" s="6">
        <v>0.13300000000000001</v>
      </c>
      <c r="AF11" s="3">
        <v>0.45400000000000001</v>
      </c>
      <c r="AG11" s="5">
        <v>0.29399999999999998</v>
      </c>
      <c r="AH11" s="3">
        <v>0.46800000000000003</v>
      </c>
      <c r="AI11" s="6">
        <v>0.153</v>
      </c>
      <c r="AJ11" s="6">
        <v>0.159</v>
      </c>
      <c r="AK11" s="32">
        <v>1.3720000000000001</v>
      </c>
      <c r="AL11" s="22">
        <v>0.66400000000000003</v>
      </c>
      <c r="AM11" s="6">
        <v>0.19</v>
      </c>
      <c r="AN11" s="6">
        <v>0.14099999999999999</v>
      </c>
      <c r="AO11" s="3">
        <v>0.41899999999999998</v>
      </c>
      <c r="AP11" s="7">
        <v>490</v>
      </c>
      <c r="AQ11" s="54" t="s">
        <v>4</v>
      </c>
      <c r="AR11" s="3">
        <v>0.255</v>
      </c>
      <c r="AS11" s="3">
        <v>0.23100000000000001</v>
      </c>
      <c r="AT11" s="5">
        <v>0.15</v>
      </c>
      <c r="AU11" s="22">
        <v>0.318</v>
      </c>
      <c r="AV11" s="23">
        <v>0.43</v>
      </c>
      <c r="AW11" s="5">
        <v>0.14799999999999999</v>
      </c>
      <c r="AX11" s="20">
        <v>0.26100000000000001</v>
      </c>
      <c r="AY11" s="5">
        <v>0.153</v>
      </c>
      <c r="AZ11" s="3">
        <v>0.23100000000000001</v>
      </c>
      <c r="BA11" s="4">
        <v>0.19800000000000001</v>
      </c>
      <c r="BB11" s="4">
        <v>0.20699999999999999</v>
      </c>
      <c r="BC11" s="24">
        <v>0.46300000000000002</v>
      </c>
    </row>
    <row r="12" spans="1:55">
      <c r="A12" s="55"/>
      <c r="B12" s="14">
        <v>7.1999999999999995E-2</v>
      </c>
      <c r="C12" s="14">
        <v>9.1999999999999998E-2</v>
      </c>
      <c r="D12" s="14">
        <v>0.10199999999999999</v>
      </c>
      <c r="E12" s="29">
        <v>0.21199999999999999</v>
      </c>
      <c r="F12" s="14">
        <v>9.0999999999999998E-2</v>
      </c>
      <c r="G12" s="14">
        <v>0.106</v>
      </c>
      <c r="H12" s="14">
        <v>0.106</v>
      </c>
      <c r="I12" s="11">
        <v>0.32400000000000001</v>
      </c>
      <c r="J12" s="11">
        <v>0.30199999999999999</v>
      </c>
      <c r="K12" s="14">
        <v>0.10100000000000001</v>
      </c>
      <c r="L12" s="14">
        <v>9.9000000000000005E-2</v>
      </c>
      <c r="M12" s="21">
        <v>0.114</v>
      </c>
      <c r="N12" s="7">
        <v>750</v>
      </c>
      <c r="O12" s="55"/>
      <c r="P12" s="14">
        <v>6.5000000000000002E-2</v>
      </c>
      <c r="Q12" s="14">
        <v>0.09</v>
      </c>
      <c r="R12" s="21">
        <v>0.106</v>
      </c>
      <c r="S12" s="13">
        <v>0.215</v>
      </c>
      <c r="T12" s="14">
        <v>9.7000000000000003E-2</v>
      </c>
      <c r="U12" s="21">
        <v>0.107</v>
      </c>
      <c r="V12" s="21">
        <v>0.109</v>
      </c>
      <c r="W12" s="28">
        <v>0.13300000000000001</v>
      </c>
      <c r="X12" s="13">
        <v>0.20300000000000001</v>
      </c>
      <c r="Y12" s="21">
        <v>0.10100000000000001</v>
      </c>
      <c r="Z12" s="21">
        <v>0.11</v>
      </c>
      <c r="AA12" s="21">
        <v>0.11600000000000001</v>
      </c>
      <c r="AB12" s="7">
        <v>750</v>
      </c>
      <c r="AC12" s="55"/>
      <c r="AD12" s="14">
        <v>0.06</v>
      </c>
      <c r="AE12" s="14">
        <v>9.1999999999999998E-2</v>
      </c>
      <c r="AF12" s="28">
        <v>0.159</v>
      </c>
      <c r="AG12" s="13">
        <v>0.20499999999999999</v>
      </c>
      <c r="AH12" s="14">
        <v>9.6000000000000002E-2</v>
      </c>
      <c r="AI12" s="21">
        <v>0.104</v>
      </c>
      <c r="AJ12" s="21">
        <v>0.108</v>
      </c>
      <c r="AK12" s="19">
        <v>0.495</v>
      </c>
      <c r="AL12" s="13">
        <v>0.23300000000000001</v>
      </c>
      <c r="AM12" s="21">
        <v>0.126</v>
      </c>
      <c r="AN12" s="21">
        <v>0.10199999999999999</v>
      </c>
      <c r="AO12" s="21">
        <v>0.115</v>
      </c>
      <c r="AP12" s="7">
        <v>750</v>
      </c>
      <c r="AQ12" s="55"/>
      <c r="AR12" s="9">
        <v>0.248</v>
      </c>
      <c r="AS12" s="9">
        <v>0.24099999999999999</v>
      </c>
      <c r="AT12" s="17">
        <v>0.155</v>
      </c>
      <c r="AU12" s="19">
        <v>0.27400000000000002</v>
      </c>
      <c r="AV12" s="11">
        <v>0.18099999999999999</v>
      </c>
      <c r="AW12" s="13">
        <v>0.14399999999999999</v>
      </c>
      <c r="AX12" s="9">
        <v>0.23499999999999999</v>
      </c>
      <c r="AY12" s="17">
        <v>0.15</v>
      </c>
      <c r="AZ12" s="9">
        <v>0.23699999999999999</v>
      </c>
      <c r="BA12" s="12">
        <v>0.189</v>
      </c>
      <c r="BB12" s="10">
        <v>0.222</v>
      </c>
      <c r="BC12" s="12">
        <v>0.19</v>
      </c>
    </row>
    <row r="13" spans="1:55">
      <c r="A13" s="54" t="s">
        <v>5</v>
      </c>
      <c r="B13" s="6">
        <v>0.13700000000000001</v>
      </c>
      <c r="C13" s="6">
        <v>0.13600000000000001</v>
      </c>
      <c r="D13" s="6">
        <v>0.16600000000000001</v>
      </c>
      <c r="E13" s="6">
        <v>0.152</v>
      </c>
      <c r="F13" s="5">
        <v>0.28100000000000003</v>
      </c>
      <c r="G13" s="6">
        <v>0.15</v>
      </c>
      <c r="H13" s="6">
        <v>0.16300000000000001</v>
      </c>
      <c r="I13" s="6">
        <v>0.156</v>
      </c>
      <c r="J13" s="5">
        <v>0.28199999999999997</v>
      </c>
      <c r="K13" s="6">
        <v>0.14299999999999999</v>
      </c>
      <c r="L13" s="6">
        <v>0.14199999999999999</v>
      </c>
      <c r="M13" s="20">
        <v>0.63800000000000001</v>
      </c>
      <c r="N13" s="7">
        <v>490</v>
      </c>
      <c r="O13" s="54" t="s">
        <v>5</v>
      </c>
      <c r="P13" s="3">
        <v>0.40200000000000002</v>
      </c>
      <c r="Q13" s="6">
        <v>0.13600000000000001</v>
      </c>
      <c r="R13" s="6">
        <v>0.14599999999999999</v>
      </c>
      <c r="S13" s="6">
        <v>0.14899999999999999</v>
      </c>
      <c r="T13" s="4">
        <v>0.31900000000000001</v>
      </c>
      <c r="U13" s="6">
        <v>0.17699999999999999</v>
      </c>
      <c r="V13" s="6">
        <v>0.154</v>
      </c>
      <c r="W13" s="6">
        <v>0.18099999999999999</v>
      </c>
      <c r="X13" s="4">
        <v>0.317</v>
      </c>
      <c r="Y13" s="6">
        <v>0.14399999999999999</v>
      </c>
      <c r="Z13" s="6">
        <v>0.14799999999999999</v>
      </c>
      <c r="AA13" s="6">
        <v>0.13500000000000001</v>
      </c>
      <c r="AB13" s="7">
        <v>490</v>
      </c>
      <c r="AC13" s="54" t="s">
        <v>5</v>
      </c>
      <c r="AD13" s="6">
        <v>0.13600000000000001</v>
      </c>
      <c r="AE13" s="6">
        <v>0.14099999999999999</v>
      </c>
      <c r="AF13" s="5">
        <v>0.248</v>
      </c>
      <c r="AG13" s="6">
        <v>0.189</v>
      </c>
      <c r="AH13" s="5">
        <v>0.2</v>
      </c>
      <c r="AI13" s="6">
        <v>0.18</v>
      </c>
      <c r="AJ13" s="6">
        <v>0.183</v>
      </c>
      <c r="AK13" s="6">
        <v>0.13900000000000001</v>
      </c>
      <c r="AL13" s="5">
        <v>0.28499999999999998</v>
      </c>
      <c r="AM13" s="20">
        <v>0.629</v>
      </c>
      <c r="AN13" s="6">
        <v>0.13600000000000001</v>
      </c>
      <c r="AO13" s="6">
        <v>0.13900000000000001</v>
      </c>
      <c r="AP13" s="7">
        <v>490</v>
      </c>
      <c r="AQ13" s="54" t="s">
        <v>5</v>
      </c>
      <c r="AR13" s="4">
        <v>0.20300000000000001</v>
      </c>
      <c r="AS13" s="4">
        <v>0.19600000000000001</v>
      </c>
      <c r="AT13" s="4">
        <v>0.192</v>
      </c>
      <c r="AU13" s="4">
        <v>0.20100000000000001</v>
      </c>
      <c r="AV13" s="4">
        <v>0.19800000000000001</v>
      </c>
      <c r="AW13" s="3">
        <v>0.22500000000000001</v>
      </c>
      <c r="AX13" s="4">
        <v>0.189</v>
      </c>
      <c r="AY13" s="3">
        <v>0.246</v>
      </c>
      <c r="AZ13" s="15">
        <v>0.39200000000000002</v>
      </c>
      <c r="BA13" s="4">
        <v>0.19600000000000001</v>
      </c>
      <c r="BB13" s="4">
        <v>0.22</v>
      </c>
      <c r="BC13" s="3">
        <v>0.22600000000000001</v>
      </c>
    </row>
    <row r="14" spans="1:55">
      <c r="A14" s="55"/>
      <c r="B14" s="14">
        <v>9.5000000000000001E-2</v>
      </c>
      <c r="C14" s="14">
        <v>9.5000000000000001E-2</v>
      </c>
      <c r="D14" s="14">
        <v>0.109</v>
      </c>
      <c r="E14" s="14">
        <v>0.108</v>
      </c>
      <c r="F14" s="14">
        <v>0.109</v>
      </c>
      <c r="G14" s="14">
        <v>0.10299999999999999</v>
      </c>
      <c r="H14" s="14">
        <v>0.108</v>
      </c>
      <c r="I14" s="14">
        <v>0.107</v>
      </c>
      <c r="J14" s="14">
        <v>9.5000000000000001E-2</v>
      </c>
      <c r="K14" s="14">
        <v>9.9000000000000005E-2</v>
      </c>
      <c r="L14" s="14">
        <v>9.8000000000000004E-2</v>
      </c>
      <c r="M14" s="28">
        <v>0.183</v>
      </c>
      <c r="N14" s="7">
        <v>750</v>
      </c>
      <c r="O14" s="55"/>
      <c r="P14" s="29">
        <v>0.187</v>
      </c>
      <c r="Q14" s="21">
        <v>9.7000000000000003E-2</v>
      </c>
      <c r="R14" s="21">
        <v>0.10299999999999999</v>
      </c>
      <c r="S14" s="21">
        <v>0.106</v>
      </c>
      <c r="T14" s="21">
        <v>0.122</v>
      </c>
      <c r="U14" s="21">
        <v>0.11899999999999999</v>
      </c>
      <c r="V14" s="21">
        <v>0.108</v>
      </c>
      <c r="W14" s="21">
        <v>0.127</v>
      </c>
      <c r="X14" s="21">
        <v>0.128</v>
      </c>
      <c r="Y14" s="21">
        <v>0.1</v>
      </c>
      <c r="Z14" s="21">
        <v>0.10199999999999999</v>
      </c>
      <c r="AA14" s="14">
        <v>9.0999999999999998E-2</v>
      </c>
      <c r="AB14" s="7">
        <v>750</v>
      </c>
      <c r="AC14" s="55"/>
      <c r="AD14" s="14">
        <v>9.2999999999999999E-2</v>
      </c>
      <c r="AE14" s="21">
        <v>0.1</v>
      </c>
      <c r="AF14" s="28">
        <v>0.13300000000000001</v>
      </c>
      <c r="AG14" s="21">
        <v>0.11600000000000001</v>
      </c>
      <c r="AH14" s="21">
        <v>0.10299999999999999</v>
      </c>
      <c r="AI14" s="21">
        <v>0.104</v>
      </c>
      <c r="AJ14" s="21">
        <v>0.11899999999999999</v>
      </c>
      <c r="AK14" s="21">
        <v>9.7000000000000003E-2</v>
      </c>
      <c r="AL14" s="21">
        <v>9.8000000000000004E-2</v>
      </c>
      <c r="AM14" s="13">
        <v>0.21</v>
      </c>
      <c r="AN14" s="14">
        <v>9.5000000000000001E-2</v>
      </c>
      <c r="AO14" s="14">
        <v>9.5000000000000001E-2</v>
      </c>
      <c r="AP14" s="7">
        <v>750</v>
      </c>
      <c r="AQ14" s="55"/>
      <c r="AR14" s="18">
        <v>0.20300000000000001</v>
      </c>
      <c r="AS14" s="18">
        <v>0.20399999999999999</v>
      </c>
      <c r="AT14" s="12">
        <v>0.19500000000000001</v>
      </c>
      <c r="AU14" s="18">
        <v>0.20300000000000001</v>
      </c>
      <c r="AV14" s="17">
        <v>0.151</v>
      </c>
      <c r="AW14" s="10">
        <v>0.22800000000000001</v>
      </c>
      <c r="AX14" s="12">
        <v>0.188</v>
      </c>
      <c r="AY14" s="8">
        <v>0.255</v>
      </c>
      <c r="AZ14" s="9">
        <v>0.23899999999999999</v>
      </c>
      <c r="BA14" s="18">
        <v>0.21</v>
      </c>
      <c r="BB14" s="9">
        <v>0.23400000000000001</v>
      </c>
      <c r="BC14" s="18">
        <v>0.21</v>
      </c>
    </row>
    <row r="15" spans="1:55">
      <c r="A15" s="54" t="s">
        <v>6</v>
      </c>
      <c r="B15" s="5">
        <v>0.23499999999999999</v>
      </c>
      <c r="C15" s="20">
        <v>0.59299999999999997</v>
      </c>
      <c r="D15" s="20">
        <v>0.56399999999999995</v>
      </c>
      <c r="E15" s="5">
        <v>0.23899999999999999</v>
      </c>
      <c r="F15" s="6">
        <v>0.11700000000000001</v>
      </c>
      <c r="G15" s="6">
        <v>0.14899999999999999</v>
      </c>
      <c r="H15" s="6">
        <v>0.13700000000000001</v>
      </c>
      <c r="I15" s="6">
        <v>0.14699999999999999</v>
      </c>
      <c r="J15" s="5">
        <v>0.27300000000000002</v>
      </c>
      <c r="K15" s="3">
        <v>0.45300000000000001</v>
      </c>
      <c r="L15" s="6">
        <v>0.125</v>
      </c>
      <c r="M15" s="6">
        <v>0.13900000000000001</v>
      </c>
      <c r="N15" s="7">
        <v>490</v>
      </c>
      <c r="O15" s="54" t="s">
        <v>6</v>
      </c>
      <c r="P15" s="6">
        <v>0.13500000000000001</v>
      </c>
      <c r="Q15" s="5">
        <v>0.23</v>
      </c>
      <c r="R15" s="6">
        <v>0.14299999999999999</v>
      </c>
      <c r="S15" s="5">
        <v>0.27700000000000002</v>
      </c>
      <c r="T15" s="6">
        <v>0.122</v>
      </c>
      <c r="U15" s="6">
        <v>0.14799999999999999</v>
      </c>
      <c r="V15" s="6">
        <v>0.13900000000000001</v>
      </c>
      <c r="W15" s="6">
        <v>0.185</v>
      </c>
      <c r="X15" s="4">
        <v>0.34799999999999998</v>
      </c>
      <c r="Y15" s="3">
        <v>0.40300000000000002</v>
      </c>
      <c r="Z15" s="6">
        <v>0.16900000000000001</v>
      </c>
      <c r="AA15" s="6">
        <v>0.14199999999999999</v>
      </c>
      <c r="AB15" s="7">
        <v>490</v>
      </c>
      <c r="AC15" s="54" t="s">
        <v>6</v>
      </c>
      <c r="AD15" s="6">
        <v>0.14199999999999999</v>
      </c>
      <c r="AE15" s="5">
        <v>0.29599999999999999</v>
      </c>
      <c r="AF15" s="6">
        <v>0.14099999999999999</v>
      </c>
      <c r="AG15" s="5">
        <v>0.255</v>
      </c>
      <c r="AH15" s="5">
        <v>0.247</v>
      </c>
      <c r="AI15" s="6">
        <v>0.14099999999999999</v>
      </c>
      <c r="AJ15" s="6">
        <v>0.13700000000000001</v>
      </c>
      <c r="AK15" s="6">
        <v>0.19600000000000001</v>
      </c>
      <c r="AL15" s="5">
        <v>0.245</v>
      </c>
      <c r="AM15" s="5">
        <v>0.27700000000000002</v>
      </c>
      <c r="AN15" s="6">
        <v>0.122</v>
      </c>
      <c r="AO15" s="6">
        <v>0.16900000000000001</v>
      </c>
      <c r="AP15" s="7">
        <v>490</v>
      </c>
      <c r="AQ15" s="54" t="s">
        <v>6</v>
      </c>
      <c r="AR15" s="6">
        <v>0.10299999999999999</v>
      </c>
      <c r="AS15" s="3">
        <v>0.22900000000000001</v>
      </c>
      <c r="AT15" s="4">
        <v>0.2</v>
      </c>
      <c r="AU15" s="4">
        <v>0.2</v>
      </c>
      <c r="AV15" s="4">
        <v>0.19600000000000001</v>
      </c>
      <c r="AW15" s="20">
        <v>0.26500000000000001</v>
      </c>
      <c r="AX15" s="4">
        <v>0.22</v>
      </c>
      <c r="AY15" s="5">
        <v>0.16</v>
      </c>
      <c r="AZ15" s="3">
        <v>0.23400000000000001</v>
      </c>
      <c r="BA15" s="3">
        <v>0.247</v>
      </c>
      <c r="BB15" s="3">
        <v>0.222</v>
      </c>
      <c r="BC15" s="3">
        <v>0.245</v>
      </c>
    </row>
    <row r="16" spans="1:55">
      <c r="A16" s="55"/>
      <c r="B16" s="21">
        <v>0.13100000000000001</v>
      </c>
      <c r="C16" s="13">
        <v>0.25800000000000001</v>
      </c>
      <c r="D16" s="29">
        <v>0.186</v>
      </c>
      <c r="E16" s="28">
        <v>0.16200000000000001</v>
      </c>
      <c r="F16" s="14">
        <v>0.08</v>
      </c>
      <c r="G16" s="14">
        <v>0.1</v>
      </c>
      <c r="H16" s="14">
        <v>9.2999999999999999E-2</v>
      </c>
      <c r="I16" s="14">
        <v>0.10100000000000001</v>
      </c>
      <c r="J16" s="21">
        <v>0.11899999999999999</v>
      </c>
      <c r="K16" s="29">
        <v>0.186</v>
      </c>
      <c r="L16" s="14">
        <v>8.4000000000000005E-2</v>
      </c>
      <c r="M16" s="14">
        <v>9.2999999999999999E-2</v>
      </c>
      <c r="N16" s="7">
        <v>750</v>
      </c>
      <c r="O16" s="55"/>
      <c r="P16" s="14">
        <v>9.2999999999999999E-2</v>
      </c>
      <c r="Q16" s="21">
        <v>0.125</v>
      </c>
      <c r="R16" s="21">
        <v>0.10299999999999999</v>
      </c>
      <c r="S16" s="29">
        <v>0.193</v>
      </c>
      <c r="T16" s="14">
        <v>8.3000000000000004E-2</v>
      </c>
      <c r="U16" s="21">
        <v>9.9000000000000005E-2</v>
      </c>
      <c r="V16" s="14">
        <v>9.2999999999999999E-2</v>
      </c>
      <c r="W16" s="21">
        <v>0.114</v>
      </c>
      <c r="X16" s="29">
        <v>0.16800000000000001</v>
      </c>
      <c r="Y16" s="29">
        <v>0.17100000000000001</v>
      </c>
      <c r="Z16" s="14">
        <v>9.6000000000000002E-2</v>
      </c>
      <c r="AA16" s="14">
        <v>9.4E-2</v>
      </c>
      <c r="AB16" s="7">
        <v>750</v>
      </c>
      <c r="AC16" s="55"/>
      <c r="AD16" s="21">
        <v>9.8000000000000004E-2</v>
      </c>
      <c r="AE16" s="28">
        <v>0.155</v>
      </c>
      <c r="AF16" s="21">
        <v>0.10199999999999999</v>
      </c>
      <c r="AG16" s="29">
        <v>0.17399999999999999</v>
      </c>
      <c r="AH16" s="28">
        <v>0.13500000000000001</v>
      </c>
      <c r="AI16" s="14">
        <v>9.5000000000000001E-2</v>
      </c>
      <c r="AJ16" s="14">
        <v>9.2999999999999999E-2</v>
      </c>
      <c r="AK16" s="21">
        <v>0.11700000000000001</v>
      </c>
      <c r="AL16" s="28">
        <v>0.13400000000000001</v>
      </c>
      <c r="AM16" s="28">
        <v>0.14099999999999999</v>
      </c>
      <c r="AN16" s="14">
        <v>8.2000000000000003E-2</v>
      </c>
      <c r="AO16" s="21">
        <v>0.104</v>
      </c>
      <c r="AP16" s="7">
        <v>750</v>
      </c>
      <c r="AQ16" s="55"/>
      <c r="AR16" s="21">
        <v>0.09</v>
      </c>
      <c r="AS16" s="9">
        <v>0.24099999999999999</v>
      </c>
      <c r="AT16" s="18">
        <v>0.214</v>
      </c>
      <c r="AU16" s="18">
        <v>0.20699999999999999</v>
      </c>
      <c r="AV16" s="18">
        <v>0.20200000000000001</v>
      </c>
      <c r="AW16" s="8">
        <v>0.26400000000000001</v>
      </c>
      <c r="AX16" s="10">
        <v>0.221</v>
      </c>
      <c r="AY16" s="11">
        <v>0.16700000000000001</v>
      </c>
      <c r="AZ16" s="8">
        <v>0.249</v>
      </c>
      <c r="BA16" s="8">
        <v>0.254</v>
      </c>
      <c r="BB16" s="10">
        <v>0.23</v>
      </c>
      <c r="BC16" s="9">
        <v>0.24</v>
      </c>
    </row>
    <row r="17" spans="1:55">
      <c r="A17" s="54" t="s">
        <v>7</v>
      </c>
      <c r="B17" s="20">
        <v>0.60299999999999998</v>
      </c>
      <c r="C17" s="6">
        <v>0.115</v>
      </c>
      <c r="D17" s="6">
        <v>0.14699999999999999</v>
      </c>
      <c r="E17" s="5">
        <v>0.28399999999999997</v>
      </c>
      <c r="F17" s="6">
        <v>0.13900000000000001</v>
      </c>
      <c r="G17" s="6">
        <v>0.16700000000000001</v>
      </c>
      <c r="H17" s="6">
        <v>0.154</v>
      </c>
      <c r="I17" s="6">
        <v>0.155</v>
      </c>
      <c r="J17" s="23">
        <v>1.0820000000000001</v>
      </c>
      <c r="K17" s="6">
        <v>0.14399999999999999</v>
      </c>
      <c r="L17" s="6">
        <v>0.17499999999999999</v>
      </c>
      <c r="M17" s="6">
        <v>0.151</v>
      </c>
      <c r="N17" s="7">
        <v>490</v>
      </c>
      <c r="O17" s="54" t="s">
        <v>7</v>
      </c>
      <c r="P17" s="4">
        <v>0.36099999999999999</v>
      </c>
      <c r="Q17" s="6">
        <v>0.13</v>
      </c>
      <c r="R17" s="25">
        <v>1.415</v>
      </c>
      <c r="S17" s="6">
        <v>0.14099999999999999</v>
      </c>
      <c r="T17" s="6">
        <v>0.13700000000000001</v>
      </c>
      <c r="U17" s="6">
        <v>0.14399999999999999</v>
      </c>
      <c r="V17" s="5">
        <v>0.214</v>
      </c>
      <c r="W17" s="6">
        <v>0.15</v>
      </c>
      <c r="X17" s="30">
        <v>1.056</v>
      </c>
      <c r="Y17" s="5">
        <v>0.20399999999999999</v>
      </c>
      <c r="Z17" s="6">
        <v>0.183</v>
      </c>
      <c r="AA17" s="6">
        <v>0.151</v>
      </c>
      <c r="AB17" s="7">
        <v>490</v>
      </c>
      <c r="AC17" s="54" t="s">
        <v>7</v>
      </c>
      <c r="AD17" s="4">
        <v>0.35899999999999999</v>
      </c>
      <c r="AE17" s="6">
        <v>0.125</v>
      </c>
      <c r="AF17" s="25">
        <v>1.617</v>
      </c>
      <c r="AG17" s="5">
        <v>0.255</v>
      </c>
      <c r="AH17" s="6">
        <v>0.13500000000000001</v>
      </c>
      <c r="AI17" s="6">
        <v>0.14000000000000001</v>
      </c>
      <c r="AJ17" s="6">
        <v>0.14499999999999999</v>
      </c>
      <c r="AK17" s="5">
        <v>0.20799999999999999</v>
      </c>
      <c r="AL17" s="24">
        <v>1.105</v>
      </c>
      <c r="AM17" s="6">
        <v>0.19600000000000001</v>
      </c>
      <c r="AN17" s="6">
        <v>0.16800000000000001</v>
      </c>
      <c r="AO17" s="6">
        <v>0.14799999999999999</v>
      </c>
      <c r="AP17" s="7">
        <v>490</v>
      </c>
      <c r="AQ17" s="54" t="s">
        <v>7</v>
      </c>
      <c r="AR17" s="3">
        <v>0.25700000000000001</v>
      </c>
      <c r="AS17" s="20">
        <v>0.26700000000000002</v>
      </c>
      <c r="AT17" s="20">
        <v>0.26700000000000002</v>
      </c>
      <c r="AU17" s="4">
        <v>0.218</v>
      </c>
      <c r="AV17" s="3">
        <v>0.26100000000000001</v>
      </c>
      <c r="AW17" s="20">
        <v>0.28499999999999998</v>
      </c>
      <c r="AX17" s="5">
        <v>0.16700000000000001</v>
      </c>
      <c r="AY17" s="20">
        <v>0.27600000000000002</v>
      </c>
      <c r="AZ17" s="25">
        <v>0.65700000000000003</v>
      </c>
      <c r="BA17" s="3">
        <v>0.22600000000000001</v>
      </c>
      <c r="BB17" s="22">
        <v>0.33700000000000002</v>
      </c>
      <c r="BC17" s="20">
        <v>0.27900000000000003</v>
      </c>
    </row>
    <row r="18" spans="1:55">
      <c r="A18" s="55"/>
      <c r="B18" s="17">
        <v>0.29199999999999998</v>
      </c>
      <c r="C18" s="14">
        <v>7.8E-2</v>
      </c>
      <c r="D18" s="14">
        <v>0.10100000000000001</v>
      </c>
      <c r="E18" s="21">
        <v>0.13500000000000001</v>
      </c>
      <c r="F18" s="14">
        <v>9.6000000000000002E-2</v>
      </c>
      <c r="G18" s="14">
        <v>0.10199999999999999</v>
      </c>
      <c r="H18" s="14">
        <v>0.10299999999999999</v>
      </c>
      <c r="I18" s="14">
        <v>0.106</v>
      </c>
      <c r="J18" s="18">
        <v>0.39100000000000001</v>
      </c>
      <c r="K18" s="14">
        <v>9.9000000000000005E-2</v>
      </c>
      <c r="L18" s="14">
        <v>9.2999999999999999E-2</v>
      </c>
      <c r="M18" s="14">
        <v>0.10199999999999999</v>
      </c>
      <c r="N18" s="7">
        <v>750</v>
      </c>
      <c r="O18" s="55"/>
      <c r="P18" s="17">
        <v>0.23400000000000001</v>
      </c>
      <c r="Q18" s="14">
        <v>8.7999999999999995E-2</v>
      </c>
      <c r="R18" s="8">
        <v>0.45100000000000001</v>
      </c>
      <c r="S18" s="14">
        <v>9.7000000000000003E-2</v>
      </c>
      <c r="T18" s="14">
        <v>9.5000000000000001E-2</v>
      </c>
      <c r="U18" s="14">
        <v>9.7000000000000003E-2</v>
      </c>
      <c r="V18" s="21">
        <v>0.11700000000000001</v>
      </c>
      <c r="W18" s="21">
        <v>0.10199999999999999</v>
      </c>
      <c r="X18" s="10">
        <v>0.35799999999999998</v>
      </c>
      <c r="Y18" s="21">
        <v>0.12</v>
      </c>
      <c r="Z18" s="21">
        <v>0.10199999999999999</v>
      </c>
      <c r="AA18" s="21">
        <v>0.10299999999999999</v>
      </c>
      <c r="AB18" s="7">
        <v>750</v>
      </c>
      <c r="AC18" s="55"/>
      <c r="AD18" s="13">
        <v>0.224</v>
      </c>
      <c r="AE18" s="14">
        <v>8.4000000000000005E-2</v>
      </c>
      <c r="AF18" s="26">
        <v>0.55700000000000005</v>
      </c>
      <c r="AG18" s="28">
        <v>0.13500000000000001</v>
      </c>
      <c r="AH18" s="14">
        <v>9.2999999999999999E-2</v>
      </c>
      <c r="AI18" s="14">
        <v>9.4E-2</v>
      </c>
      <c r="AJ18" s="14">
        <v>9.5000000000000001E-2</v>
      </c>
      <c r="AK18" s="21">
        <v>0.12</v>
      </c>
      <c r="AL18" s="10">
        <v>0.39700000000000002</v>
      </c>
      <c r="AM18" s="21">
        <v>0.126</v>
      </c>
      <c r="AN18" s="14">
        <v>9.1999999999999998E-2</v>
      </c>
      <c r="AO18" s="21">
        <v>0.10299999999999999</v>
      </c>
      <c r="AP18" s="7">
        <v>750</v>
      </c>
      <c r="AQ18" s="55"/>
      <c r="AR18" s="8">
        <v>0.252</v>
      </c>
      <c r="AS18" s="8">
        <v>0.26500000000000001</v>
      </c>
      <c r="AT18" s="19">
        <v>0.27800000000000002</v>
      </c>
      <c r="AU18" s="10">
        <v>0.219</v>
      </c>
      <c r="AV18" s="8">
        <v>0.26</v>
      </c>
      <c r="AW18" s="26">
        <v>0.28399999999999997</v>
      </c>
      <c r="AX18" s="17">
        <v>0.16</v>
      </c>
      <c r="AY18" s="19">
        <v>0.27600000000000002</v>
      </c>
      <c r="AZ18" s="8">
        <v>0.25700000000000001</v>
      </c>
      <c r="BA18" s="10">
        <v>0.222</v>
      </c>
      <c r="BB18" s="26">
        <v>0.29899999999999999</v>
      </c>
      <c r="BC18" s="19">
        <v>0.27</v>
      </c>
    </row>
    <row r="20" spans="1:55">
      <c r="A20" t="s">
        <v>9</v>
      </c>
      <c r="B20">
        <v>2.1</v>
      </c>
    </row>
    <row r="21" spans="1:5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55">
      <c r="A22" s="54" t="s">
        <v>0</v>
      </c>
      <c r="B22" s="6">
        <v>0.123</v>
      </c>
      <c r="C22" s="6">
        <v>0.115</v>
      </c>
      <c r="D22" s="6">
        <v>0.12</v>
      </c>
      <c r="E22" s="6">
        <v>0.129</v>
      </c>
      <c r="F22" s="6">
        <v>0.115</v>
      </c>
      <c r="G22" s="6">
        <v>0.129</v>
      </c>
      <c r="H22" s="5">
        <v>0.14599999999999999</v>
      </c>
      <c r="I22" s="6">
        <v>0.128</v>
      </c>
      <c r="J22" s="6">
        <v>0.12</v>
      </c>
      <c r="K22" s="6">
        <v>0.11899999999999999</v>
      </c>
      <c r="L22" s="6">
        <v>0.121</v>
      </c>
      <c r="M22" s="20">
        <v>0.21299999999999999</v>
      </c>
    </row>
    <row r="23" spans="1:55">
      <c r="A23" s="55"/>
      <c r="B23" s="14">
        <v>9.2999999999999999E-2</v>
      </c>
      <c r="C23" s="14">
        <v>8.7999999999999995E-2</v>
      </c>
      <c r="D23" s="14">
        <v>9.0999999999999998E-2</v>
      </c>
      <c r="E23" s="21">
        <v>9.7000000000000003E-2</v>
      </c>
      <c r="F23" s="14">
        <v>8.6999999999999994E-2</v>
      </c>
      <c r="G23" s="14">
        <v>9.0999999999999998E-2</v>
      </c>
      <c r="H23" s="28">
        <v>0.11700000000000001</v>
      </c>
      <c r="I23" s="14">
        <v>9.2999999999999999E-2</v>
      </c>
      <c r="J23" s="14">
        <v>9.1999999999999998E-2</v>
      </c>
      <c r="K23" s="14">
        <v>9.0999999999999998E-2</v>
      </c>
      <c r="L23" s="14">
        <v>9.0999999999999998E-2</v>
      </c>
      <c r="M23" s="29">
        <v>0.128</v>
      </c>
    </row>
    <row r="24" spans="1:55">
      <c r="A24" s="54" t="s">
        <v>1</v>
      </c>
      <c r="B24" s="6">
        <v>0.122</v>
      </c>
      <c r="C24" s="6">
        <v>0.115</v>
      </c>
      <c r="D24" s="6">
        <v>0.11899999999999999</v>
      </c>
      <c r="E24" s="6">
        <v>0.11899999999999999</v>
      </c>
      <c r="F24" s="3">
        <v>0.19400000000000001</v>
      </c>
      <c r="G24" s="6">
        <v>0.127</v>
      </c>
      <c r="H24" s="6">
        <v>0.121</v>
      </c>
      <c r="I24" s="6">
        <v>0.124</v>
      </c>
      <c r="J24" s="5">
        <v>0.152</v>
      </c>
      <c r="K24" s="6">
        <v>0.11899999999999999</v>
      </c>
      <c r="L24" s="6">
        <v>0.11799999999999999</v>
      </c>
      <c r="M24" s="6">
        <v>0.11899999999999999</v>
      </c>
    </row>
    <row r="25" spans="1:55">
      <c r="A25" s="55"/>
      <c r="B25" s="14">
        <v>9.1999999999999998E-2</v>
      </c>
      <c r="C25" s="14">
        <v>8.7999999999999995E-2</v>
      </c>
      <c r="D25" s="14">
        <v>8.8999999999999996E-2</v>
      </c>
      <c r="E25" s="14">
        <v>0.09</v>
      </c>
      <c r="F25" s="14">
        <v>8.7999999999999995E-2</v>
      </c>
      <c r="G25" s="21">
        <v>9.6000000000000002E-2</v>
      </c>
      <c r="H25" s="14">
        <v>9.1999999999999998E-2</v>
      </c>
      <c r="I25" s="14">
        <v>9.1999999999999998E-2</v>
      </c>
      <c r="J25" s="21">
        <v>9.6000000000000002E-2</v>
      </c>
      <c r="K25" s="14">
        <v>0.09</v>
      </c>
      <c r="L25" s="14">
        <v>8.7999999999999995E-2</v>
      </c>
      <c r="M25" s="14">
        <v>0.09</v>
      </c>
    </row>
    <row r="26" spans="1:55">
      <c r="A26" s="54" t="s">
        <v>2</v>
      </c>
      <c r="B26" s="6">
        <v>0.114</v>
      </c>
      <c r="C26" s="6">
        <v>0.109</v>
      </c>
      <c r="D26" s="6">
        <v>0.114</v>
      </c>
      <c r="E26" s="6">
        <v>0.11700000000000001</v>
      </c>
      <c r="F26" s="6">
        <v>0.109</v>
      </c>
      <c r="G26" s="6">
        <v>0.122</v>
      </c>
      <c r="H26" s="6">
        <v>0.11799999999999999</v>
      </c>
      <c r="I26" s="6">
        <v>0.12</v>
      </c>
      <c r="J26" s="6">
        <v>0.11899999999999999</v>
      </c>
      <c r="K26" s="6">
        <v>0.11600000000000001</v>
      </c>
      <c r="L26" s="6">
        <v>0.112</v>
      </c>
      <c r="M26" s="4">
        <v>0.158</v>
      </c>
    </row>
    <row r="27" spans="1:55">
      <c r="A27" s="55"/>
      <c r="B27" s="14">
        <v>8.5999999999999993E-2</v>
      </c>
      <c r="C27" s="14">
        <v>8.3000000000000004E-2</v>
      </c>
      <c r="D27" s="14">
        <v>8.5999999999999993E-2</v>
      </c>
      <c r="E27" s="14">
        <v>8.8999999999999996E-2</v>
      </c>
      <c r="F27" s="14">
        <v>8.5000000000000006E-2</v>
      </c>
      <c r="G27" s="14">
        <v>9.1999999999999998E-2</v>
      </c>
      <c r="H27" s="14">
        <v>8.8999999999999996E-2</v>
      </c>
      <c r="I27" s="14">
        <v>0.09</v>
      </c>
      <c r="J27" s="14">
        <v>9.0999999999999998E-2</v>
      </c>
      <c r="K27" s="14">
        <v>8.7999999999999995E-2</v>
      </c>
      <c r="L27" s="14">
        <v>8.6999999999999994E-2</v>
      </c>
      <c r="M27" s="28">
        <v>0.115</v>
      </c>
    </row>
    <row r="28" spans="1:55">
      <c r="A28" s="54" t="s">
        <v>3</v>
      </c>
      <c r="B28" s="6">
        <v>0.112</v>
      </c>
      <c r="C28" s="6">
        <v>0.109</v>
      </c>
      <c r="D28" s="6">
        <v>0.114</v>
      </c>
      <c r="E28" s="6">
        <v>0.125</v>
      </c>
      <c r="F28" s="6">
        <v>0.108</v>
      </c>
      <c r="G28" s="25">
        <v>0.45100000000000001</v>
      </c>
      <c r="H28" s="6">
        <v>0.11700000000000001</v>
      </c>
      <c r="I28" s="6">
        <v>0.11799999999999999</v>
      </c>
      <c r="J28" s="6">
        <v>0.11899999999999999</v>
      </c>
      <c r="K28" s="6">
        <v>0.11600000000000001</v>
      </c>
      <c r="L28" s="6">
        <v>0.113</v>
      </c>
      <c r="M28" s="6">
        <v>0.11799999999999999</v>
      </c>
    </row>
    <row r="29" spans="1:55">
      <c r="A29" s="55"/>
      <c r="B29" s="14">
        <v>8.5999999999999993E-2</v>
      </c>
      <c r="C29" s="14">
        <v>8.4000000000000005E-2</v>
      </c>
      <c r="D29" s="14">
        <v>8.6999999999999994E-2</v>
      </c>
      <c r="E29" s="21">
        <v>9.8000000000000004E-2</v>
      </c>
      <c r="F29" s="14">
        <v>8.4000000000000005E-2</v>
      </c>
      <c r="G29" s="14">
        <v>9.4E-2</v>
      </c>
      <c r="H29" s="14">
        <v>8.7999999999999995E-2</v>
      </c>
      <c r="I29" s="14">
        <v>8.7999999999999995E-2</v>
      </c>
      <c r="J29" s="14">
        <v>0.09</v>
      </c>
      <c r="K29" s="14">
        <v>8.8999999999999996E-2</v>
      </c>
      <c r="L29" s="14">
        <v>8.6999999999999994E-2</v>
      </c>
      <c r="M29" s="14">
        <v>8.8999999999999996E-2</v>
      </c>
    </row>
    <row r="30" spans="1:55">
      <c r="A30" s="54" t="s">
        <v>4</v>
      </c>
      <c r="B30" s="5">
        <v>0.13300000000000001</v>
      </c>
      <c r="C30" s="6">
        <v>0.111</v>
      </c>
      <c r="D30" s="6">
        <v>0.113</v>
      </c>
      <c r="E30" s="6">
        <v>0.125</v>
      </c>
      <c r="F30" s="5">
        <v>0.157</v>
      </c>
      <c r="G30" s="6">
        <v>0.12</v>
      </c>
      <c r="H30" s="6">
        <v>0.123</v>
      </c>
      <c r="I30" s="6">
        <v>0.11700000000000001</v>
      </c>
      <c r="J30" s="6">
        <v>0.13200000000000001</v>
      </c>
      <c r="K30" s="6">
        <v>0.11600000000000001</v>
      </c>
      <c r="L30" s="6">
        <v>0.114</v>
      </c>
      <c r="M30" s="5">
        <v>0.14599999999999999</v>
      </c>
    </row>
    <row r="31" spans="1:55">
      <c r="A31" s="55"/>
      <c r="B31" s="28">
        <v>0.11</v>
      </c>
      <c r="C31" s="14">
        <v>8.6999999999999994E-2</v>
      </c>
      <c r="D31" s="14">
        <v>8.8999999999999996E-2</v>
      </c>
      <c r="E31" s="21">
        <v>9.6000000000000002E-2</v>
      </c>
      <c r="F31" s="14">
        <v>8.5000000000000006E-2</v>
      </c>
      <c r="G31" s="14">
        <v>0.09</v>
      </c>
      <c r="H31" s="14">
        <v>8.8999999999999996E-2</v>
      </c>
      <c r="I31" s="14">
        <v>8.7999999999999995E-2</v>
      </c>
      <c r="J31" s="21">
        <v>0.10100000000000001</v>
      </c>
      <c r="K31" s="14">
        <v>8.8999999999999996E-2</v>
      </c>
      <c r="L31" s="14">
        <v>8.8999999999999996E-2</v>
      </c>
      <c r="M31" s="14">
        <v>0.09</v>
      </c>
    </row>
    <row r="32" spans="1:55">
      <c r="A32" s="54" t="s">
        <v>5</v>
      </c>
      <c r="B32" s="6">
        <v>0.11799999999999999</v>
      </c>
      <c r="C32" s="6">
        <v>0.11</v>
      </c>
      <c r="D32" s="5">
        <v>0.14799999999999999</v>
      </c>
      <c r="E32" s="6">
        <v>0.122</v>
      </c>
      <c r="F32" s="6">
        <v>0.112</v>
      </c>
      <c r="G32" s="6">
        <v>0.122</v>
      </c>
      <c r="H32" s="6">
        <v>0.111</v>
      </c>
      <c r="I32" s="6">
        <v>0.126</v>
      </c>
      <c r="J32" s="6">
        <v>0.129</v>
      </c>
      <c r="K32" s="6">
        <v>0.125</v>
      </c>
      <c r="L32" s="6">
        <v>0.114</v>
      </c>
      <c r="M32" s="5">
        <v>0.14399999999999999</v>
      </c>
    </row>
    <row r="33" spans="1:41">
      <c r="A33" s="55"/>
      <c r="B33" s="14">
        <v>9.0999999999999998E-2</v>
      </c>
      <c r="C33" s="14">
        <v>8.6999999999999994E-2</v>
      </c>
      <c r="D33" s="28">
        <v>0.107</v>
      </c>
      <c r="E33" s="21">
        <v>9.6000000000000002E-2</v>
      </c>
      <c r="F33" s="14">
        <v>8.5000000000000006E-2</v>
      </c>
      <c r="G33" s="14">
        <v>9.1999999999999998E-2</v>
      </c>
      <c r="H33" s="14">
        <v>8.4000000000000005E-2</v>
      </c>
      <c r="I33" s="21">
        <v>9.6000000000000002E-2</v>
      </c>
      <c r="J33" s="14">
        <v>8.8999999999999996E-2</v>
      </c>
      <c r="K33" s="14">
        <v>8.8999999999999996E-2</v>
      </c>
      <c r="L33" s="14">
        <v>8.5999999999999993E-2</v>
      </c>
      <c r="M33" s="28">
        <v>0.11</v>
      </c>
    </row>
    <row r="34" spans="1:41">
      <c r="A34" s="54" t="s">
        <v>6</v>
      </c>
      <c r="B34" s="6">
        <v>0.115</v>
      </c>
      <c r="C34" s="6">
        <v>0.108</v>
      </c>
      <c r="D34" s="6">
        <v>0.111</v>
      </c>
      <c r="E34" s="6">
        <v>0.13100000000000001</v>
      </c>
      <c r="F34" s="6">
        <v>0.109</v>
      </c>
      <c r="G34" s="6">
        <v>0.11700000000000001</v>
      </c>
      <c r="H34" s="6">
        <v>0.124</v>
      </c>
      <c r="I34" s="6">
        <v>0.121</v>
      </c>
      <c r="J34" s="6">
        <v>0.13200000000000001</v>
      </c>
      <c r="K34" s="4">
        <v>0.16200000000000001</v>
      </c>
      <c r="L34" s="6">
        <v>0.114</v>
      </c>
      <c r="M34" s="6">
        <v>0.128</v>
      </c>
      <c r="AN34" s="41"/>
    </row>
    <row r="35" spans="1:41">
      <c r="A35" s="55"/>
      <c r="B35" s="14">
        <v>8.6999999999999994E-2</v>
      </c>
      <c r="C35" s="14">
        <v>8.5000000000000006E-2</v>
      </c>
      <c r="D35" s="14">
        <v>8.7999999999999995E-2</v>
      </c>
      <c r="E35" s="21">
        <v>0.10199999999999999</v>
      </c>
      <c r="F35" s="14">
        <v>8.5000000000000006E-2</v>
      </c>
      <c r="G35" s="14">
        <v>8.8999999999999996E-2</v>
      </c>
      <c r="H35" s="14">
        <v>9.4E-2</v>
      </c>
      <c r="I35" s="14">
        <v>9.1999999999999998E-2</v>
      </c>
      <c r="J35" s="21">
        <v>0.10299999999999999</v>
      </c>
      <c r="K35" s="13">
        <v>0.13400000000000001</v>
      </c>
      <c r="L35" s="14">
        <v>8.7999999999999995E-2</v>
      </c>
      <c r="M35" s="21">
        <v>9.8000000000000004E-2</v>
      </c>
    </row>
    <row r="36" spans="1:41">
      <c r="A36" s="54" t="s">
        <v>7</v>
      </c>
      <c r="B36" s="16">
        <v>0.26600000000000001</v>
      </c>
      <c r="C36" s="6">
        <v>0.129</v>
      </c>
      <c r="D36" s="6">
        <v>0.115</v>
      </c>
      <c r="E36" s="6">
        <v>0.12</v>
      </c>
      <c r="F36" s="6">
        <v>0.112</v>
      </c>
      <c r="G36" s="6">
        <v>0.12</v>
      </c>
      <c r="H36" s="6">
        <v>0.121</v>
      </c>
      <c r="I36" s="6">
        <v>0.12</v>
      </c>
      <c r="J36" s="22">
        <v>0.24099999999999999</v>
      </c>
      <c r="K36" s="6">
        <v>0.11600000000000001</v>
      </c>
      <c r="L36" s="6">
        <v>0.12</v>
      </c>
      <c r="M36" s="6">
        <v>0.122</v>
      </c>
    </row>
    <row r="37" spans="1:41">
      <c r="A37" s="55"/>
      <c r="B37" s="26">
        <v>0.24199999999999999</v>
      </c>
      <c r="C37" s="21">
        <v>0.10100000000000001</v>
      </c>
      <c r="D37" s="14">
        <v>8.7999999999999995E-2</v>
      </c>
      <c r="E37" s="14">
        <v>9.0999999999999998E-2</v>
      </c>
      <c r="F37" s="14">
        <v>8.5999999999999993E-2</v>
      </c>
      <c r="G37" s="14">
        <v>0.09</v>
      </c>
      <c r="H37" s="14">
        <v>8.7999999999999995E-2</v>
      </c>
      <c r="I37" s="14">
        <v>9.0999999999999998E-2</v>
      </c>
      <c r="J37" s="14">
        <v>9.2999999999999999E-2</v>
      </c>
      <c r="K37" s="14">
        <v>8.7999999999999995E-2</v>
      </c>
      <c r="L37" s="14">
        <v>8.5999999999999993E-2</v>
      </c>
      <c r="M37" s="14">
        <v>9.1999999999999998E-2</v>
      </c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41">
      <c r="B40" s="2">
        <v>1</v>
      </c>
      <c r="C40" s="2">
        <v>2</v>
      </c>
      <c r="D40" s="2">
        <v>3</v>
      </c>
      <c r="E40" s="2">
        <v>4</v>
      </c>
      <c r="F40" s="2">
        <v>5</v>
      </c>
      <c r="G40" s="2">
        <v>6</v>
      </c>
      <c r="H40" s="2">
        <v>7</v>
      </c>
      <c r="I40" s="2">
        <v>8</v>
      </c>
      <c r="J40" s="2">
        <v>9</v>
      </c>
      <c r="K40" s="2">
        <v>10</v>
      </c>
      <c r="L40" s="2">
        <v>11</v>
      </c>
      <c r="M40" s="2">
        <v>12</v>
      </c>
      <c r="P40" s="2">
        <v>1</v>
      </c>
      <c r="Q40" s="2">
        <v>2</v>
      </c>
      <c r="R40" s="2">
        <v>3</v>
      </c>
      <c r="S40" s="2">
        <v>4</v>
      </c>
      <c r="T40" s="2">
        <v>5</v>
      </c>
      <c r="U40" s="2">
        <v>6</v>
      </c>
      <c r="V40" s="2">
        <v>7</v>
      </c>
      <c r="W40" s="2">
        <v>8</v>
      </c>
      <c r="X40" s="2">
        <v>9</v>
      </c>
      <c r="Y40" s="2">
        <v>10</v>
      </c>
      <c r="Z40" s="2">
        <v>11</v>
      </c>
      <c r="AA40" s="2">
        <v>12</v>
      </c>
      <c r="AD40" s="2">
        <v>1</v>
      </c>
      <c r="AE40" s="2">
        <v>2</v>
      </c>
      <c r="AF40" s="2">
        <v>3</v>
      </c>
      <c r="AG40" s="2">
        <v>4</v>
      </c>
      <c r="AH40" s="2">
        <v>5</v>
      </c>
      <c r="AI40" s="2">
        <v>6</v>
      </c>
      <c r="AJ40" s="2">
        <v>7</v>
      </c>
      <c r="AK40" s="2">
        <v>8</v>
      </c>
      <c r="AL40" s="2">
        <v>9</v>
      </c>
      <c r="AM40" s="2">
        <v>10</v>
      </c>
      <c r="AN40" s="2">
        <v>11</v>
      </c>
      <c r="AO40" s="2">
        <v>12</v>
      </c>
    </row>
    <row r="41" spans="1:41">
      <c r="A41" s="54" t="s">
        <v>0</v>
      </c>
      <c r="B41">
        <f>B3-B22</f>
        <v>2.5999999999999995E-2</v>
      </c>
      <c r="C41">
        <f t="shared" ref="C41:M46" si="0">C3-C22</f>
        <v>5.6999999999999981E-2</v>
      </c>
      <c r="D41">
        <f t="shared" si="0"/>
        <v>7.6000000000000012E-2</v>
      </c>
      <c r="E41">
        <f t="shared" si="0"/>
        <v>7.2000000000000008E-2</v>
      </c>
      <c r="F41">
        <f t="shared" si="0"/>
        <v>2.5000000000000008E-2</v>
      </c>
      <c r="G41">
        <f t="shared" si="0"/>
        <v>6.4000000000000001E-2</v>
      </c>
      <c r="H41">
        <f t="shared" si="0"/>
        <v>-1.5999999999999986E-2</v>
      </c>
      <c r="I41">
        <f t="shared" si="0"/>
        <v>2.3999999999999994E-2</v>
      </c>
      <c r="J41">
        <f t="shared" si="0"/>
        <v>3.3000000000000002E-2</v>
      </c>
      <c r="K41">
        <f t="shared" si="0"/>
        <v>0.43700000000000006</v>
      </c>
      <c r="L41">
        <f t="shared" si="0"/>
        <v>6.8000000000000005E-2</v>
      </c>
      <c r="M41" s="38">
        <f t="shared" si="0"/>
        <v>8.7999999999999995E-2</v>
      </c>
      <c r="O41" s="54" t="s">
        <v>0</v>
      </c>
      <c r="P41">
        <f>P3-B22</f>
        <v>2.3999999999999994E-2</v>
      </c>
      <c r="Q41">
        <f t="shared" ref="Q41:AA41" si="1">Q3-C22</f>
        <v>2.1000000000000005E-2</v>
      </c>
      <c r="R41">
        <f t="shared" si="1"/>
        <v>2.2999999999999993E-2</v>
      </c>
      <c r="S41">
        <f t="shared" si="1"/>
        <v>3.1E-2</v>
      </c>
      <c r="T41">
        <f t="shared" si="1"/>
        <v>2.8999999999999984E-2</v>
      </c>
      <c r="U41">
        <f t="shared" si="1"/>
        <v>6.9000000000000006E-2</v>
      </c>
      <c r="V41">
        <f t="shared" si="1"/>
        <v>1.0000000000000009E-2</v>
      </c>
      <c r="W41">
        <f t="shared" si="1"/>
        <v>2.7999999999999997E-2</v>
      </c>
      <c r="X41">
        <f t="shared" si="1"/>
        <v>3.9000000000000007E-2</v>
      </c>
      <c r="Y41">
        <f t="shared" si="1"/>
        <v>0.41400000000000003</v>
      </c>
      <c r="Z41">
        <f t="shared" si="1"/>
        <v>3.6000000000000004E-2</v>
      </c>
      <c r="AA41">
        <f t="shared" si="1"/>
        <v>0.10900000000000001</v>
      </c>
      <c r="AC41" s="54" t="s">
        <v>0</v>
      </c>
      <c r="AD41">
        <f>AD3-B22</f>
        <v>2.1999999999999992E-2</v>
      </c>
      <c r="AE41">
        <f t="shared" ref="AE41:AN41" si="2">AE3-C22</f>
        <v>3.1999999999999987E-2</v>
      </c>
      <c r="AF41">
        <f t="shared" si="2"/>
        <v>2.1999999999999992E-2</v>
      </c>
      <c r="AG41">
        <f t="shared" si="2"/>
        <v>5.6999999999999995E-2</v>
      </c>
      <c r="AH41">
        <f t="shared" si="2"/>
        <v>3.2999999999999988E-2</v>
      </c>
      <c r="AI41">
        <f t="shared" si="2"/>
        <v>6.7000000000000004E-2</v>
      </c>
      <c r="AJ41">
        <f t="shared" si="2"/>
        <v>6.0000000000000053E-3</v>
      </c>
      <c r="AK41" s="40">
        <f t="shared" si="2"/>
        <v>0.12</v>
      </c>
      <c r="AL41">
        <f t="shared" si="2"/>
        <v>6.4000000000000001E-2</v>
      </c>
      <c r="AM41" s="42">
        <f>AM3-K22</f>
        <v>0.38500000000000001</v>
      </c>
      <c r="AN41">
        <f t="shared" si="2"/>
        <v>3.6000000000000004E-2</v>
      </c>
      <c r="AO41" s="38">
        <f>AO3-M22</f>
        <v>9.9000000000000005E-2</v>
      </c>
    </row>
    <row r="42" spans="1:41">
      <c r="A42" s="55"/>
      <c r="B42">
        <f t="shared" ref="B42:M56" si="3">B4-B23</f>
        <v>8.9999999999999941E-3</v>
      </c>
      <c r="C42">
        <f t="shared" si="3"/>
        <v>2.0000000000000004E-2</v>
      </c>
      <c r="D42">
        <f t="shared" si="3"/>
        <v>0.03</v>
      </c>
      <c r="E42">
        <f t="shared" si="3"/>
        <v>2.7999999999999997E-2</v>
      </c>
      <c r="F42">
        <f t="shared" si="3"/>
        <v>1.3000000000000012E-2</v>
      </c>
      <c r="G42">
        <f t="shared" si="3"/>
        <v>2.8999999999999998E-2</v>
      </c>
      <c r="H42">
        <f t="shared" si="3"/>
        <v>-2.9000000000000012E-2</v>
      </c>
      <c r="I42">
        <f t="shared" si="3"/>
        <v>5.0000000000000044E-3</v>
      </c>
      <c r="J42">
        <f t="shared" si="3"/>
        <v>1.4999999999999999E-2</v>
      </c>
      <c r="K42">
        <f t="shared" si="3"/>
        <v>0.22700000000000001</v>
      </c>
      <c r="L42">
        <f t="shared" si="3"/>
        <v>2.2000000000000006E-2</v>
      </c>
      <c r="M42" s="38">
        <f t="shared" si="3"/>
        <v>4.3999999999999984E-2</v>
      </c>
      <c r="O42" s="55"/>
      <c r="P42">
        <f t="shared" ref="P42:P56" si="4">P4-B23</f>
        <v>8.0000000000000071E-3</v>
      </c>
      <c r="Q42">
        <f t="shared" ref="Q42:Q56" si="5">Q4-C23</f>
        <v>5.0000000000000044E-3</v>
      </c>
      <c r="R42">
        <f t="shared" ref="R42:R56" si="6">R4-D23</f>
        <v>1.0000000000000009E-2</v>
      </c>
      <c r="S42">
        <f t="shared" ref="S42:S56" si="7">S4-E23</f>
        <v>1.3999999999999999E-2</v>
      </c>
      <c r="T42">
        <f t="shared" ref="T42:T56" si="8">T4-F23</f>
        <v>1.6E-2</v>
      </c>
      <c r="U42">
        <f t="shared" ref="U42:U56" si="9">U4-G23</f>
        <v>3.3000000000000002E-2</v>
      </c>
      <c r="V42">
        <f t="shared" ref="V42:V56" si="10">V4-H23</f>
        <v>-1.100000000000001E-2</v>
      </c>
      <c r="W42">
        <f t="shared" ref="W42:W56" si="11">W4-I23</f>
        <v>8.0000000000000071E-3</v>
      </c>
      <c r="X42">
        <f t="shared" ref="X42:X56" si="12">X4-J23</f>
        <v>2.0000000000000004E-2</v>
      </c>
      <c r="Y42">
        <f t="shared" ref="Y42:Y56" si="13">Y4-K23</f>
        <v>0.216</v>
      </c>
      <c r="Z42">
        <f t="shared" ref="Z42:Z56" si="14">Z4-L23</f>
        <v>1.4999999999999999E-2</v>
      </c>
      <c r="AA42">
        <f t="shared" ref="AA42:AA56" si="15">AA4-M23</f>
        <v>5.1999999999999991E-2</v>
      </c>
      <c r="AC42" s="55"/>
      <c r="AD42">
        <f t="shared" ref="AD42:AD56" si="16">AD4-B23</f>
        <v>7.0000000000000062E-3</v>
      </c>
      <c r="AE42">
        <f t="shared" ref="AE42:AE56" si="17">AE4-C23</f>
        <v>1.2000000000000011E-2</v>
      </c>
      <c r="AF42">
        <f t="shared" ref="AF42:AF56" si="18">AF4-D23</f>
        <v>9.000000000000008E-3</v>
      </c>
      <c r="AG42">
        <f t="shared" ref="AG42:AG56" si="19">AG4-E23</f>
        <v>2.4999999999999994E-2</v>
      </c>
      <c r="AH42">
        <f t="shared" ref="AH42:AH56" si="20">AH4-F23</f>
        <v>1.7000000000000001E-2</v>
      </c>
      <c r="AI42">
        <f t="shared" ref="AI42:AI56" si="21">AI4-G23</f>
        <v>3.1E-2</v>
      </c>
      <c r="AJ42">
        <f t="shared" ref="AJ42:AJ56" si="22">AJ4-H23</f>
        <v>-5.0000000000000044E-3</v>
      </c>
      <c r="AK42" s="40">
        <f t="shared" ref="AK42:AK56" si="23">AK4-I23</f>
        <v>4.6000000000000013E-2</v>
      </c>
      <c r="AL42">
        <f t="shared" ref="AL42:AL56" si="24">AL4-J23</f>
        <v>2.8999999999999998E-2</v>
      </c>
      <c r="AM42">
        <f t="shared" ref="AM42:AM56" si="25">AM4-K23</f>
        <v>0.19799999999999998</v>
      </c>
      <c r="AN42">
        <f t="shared" ref="AN42:AN56" si="26">AN4-L23</f>
        <v>1.7000000000000001E-2</v>
      </c>
      <c r="AO42" s="38">
        <f t="shared" ref="AO42:AO56" si="27">AO4-M23</f>
        <v>4.8999999999999988E-2</v>
      </c>
    </row>
    <row r="43" spans="1:41">
      <c r="A43" s="54" t="s">
        <v>1</v>
      </c>
      <c r="B43">
        <f t="shared" si="3"/>
        <v>2.6999999999999996E-2</v>
      </c>
      <c r="C43">
        <f t="shared" si="0"/>
        <v>2.1000000000000005E-2</v>
      </c>
      <c r="D43">
        <f t="shared" si="0"/>
        <v>0.128</v>
      </c>
      <c r="E43">
        <f t="shared" si="0"/>
        <v>0.21700000000000003</v>
      </c>
      <c r="F43">
        <f t="shared" si="0"/>
        <v>0.255</v>
      </c>
      <c r="G43">
        <f t="shared" si="0"/>
        <v>0.63100000000000001</v>
      </c>
      <c r="H43">
        <f t="shared" si="0"/>
        <v>0.36699999999999999</v>
      </c>
      <c r="I43">
        <f t="shared" si="0"/>
        <v>4.300000000000001E-2</v>
      </c>
      <c r="J43">
        <f t="shared" si="0"/>
        <v>0.19499999999999998</v>
      </c>
      <c r="K43">
        <f t="shared" si="0"/>
        <v>0.69300000000000006</v>
      </c>
      <c r="L43" s="40">
        <f t="shared" si="0"/>
        <v>9.0999999999999998E-2</v>
      </c>
      <c r="M43">
        <f t="shared" si="0"/>
        <v>2.0000000000000018E-2</v>
      </c>
      <c r="O43" s="54" t="s">
        <v>1</v>
      </c>
      <c r="P43">
        <f t="shared" si="4"/>
        <v>2.8999999999999998E-2</v>
      </c>
      <c r="Q43">
        <f t="shared" si="5"/>
        <v>1.6E-2</v>
      </c>
      <c r="R43">
        <f t="shared" si="6"/>
        <v>0.10100000000000001</v>
      </c>
      <c r="S43">
        <f t="shared" si="7"/>
        <v>0.28100000000000003</v>
      </c>
      <c r="T43">
        <f t="shared" si="8"/>
        <v>0.26800000000000002</v>
      </c>
      <c r="U43">
        <f t="shared" si="9"/>
        <v>0.58799999999999997</v>
      </c>
      <c r="V43">
        <f t="shared" si="10"/>
        <v>0.41600000000000004</v>
      </c>
      <c r="W43">
        <f t="shared" si="11"/>
        <v>9.8000000000000004E-2</v>
      </c>
      <c r="X43">
        <f t="shared" si="12"/>
        <v>0.25800000000000001</v>
      </c>
      <c r="Y43">
        <f t="shared" si="13"/>
        <v>0.59899999999999998</v>
      </c>
      <c r="Z43">
        <f t="shared" si="14"/>
        <v>0.32200000000000001</v>
      </c>
      <c r="AA43">
        <f t="shared" si="15"/>
        <v>2.1999999999999992E-2</v>
      </c>
      <c r="AC43" s="54" t="s">
        <v>1</v>
      </c>
      <c r="AD43">
        <f t="shared" si="16"/>
        <v>2.8999999999999998E-2</v>
      </c>
      <c r="AE43">
        <f t="shared" si="17"/>
        <v>2.1000000000000005E-2</v>
      </c>
      <c r="AF43" s="38">
        <f t="shared" si="18"/>
        <v>7.9000000000000015E-2</v>
      </c>
      <c r="AG43">
        <f t="shared" si="19"/>
        <v>0.24299999999999999</v>
      </c>
      <c r="AH43">
        <f t="shared" si="20"/>
        <v>0.17799999999999999</v>
      </c>
      <c r="AI43">
        <f t="shared" si="21"/>
        <v>0.55900000000000005</v>
      </c>
      <c r="AJ43">
        <f t="shared" si="22"/>
        <v>0.378</v>
      </c>
      <c r="AK43">
        <f t="shared" si="23"/>
        <v>7.0000000000000007E-2</v>
      </c>
      <c r="AL43">
        <f t="shared" si="24"/>
        <v>0.14099999999999999</v>
      </c>
      <c r="AM43">
        <f t="shared" si="25"/>
        <v>0.628</v>
      </c>
      <c r="AN43" s="40">
        <f t="shared" si="26"/>
        <v>7.6000000000000012E-2</v>
      </c>
      <c r="AO43">
        <f t="shared" si="27"/>
        <v>2.1999999999999992E-2</v>
      </c>
    </row>
    <row r="44" spans="1:41">
      <c r="A44" s="55"/>
      <c r="B44">
        <f t="shared" si="3"/>
        <v>1.0999999999999996E-2</v>
      </c>
      <c r="C44">
        <f t="shared" si="0"/>
        <v>7.0000000000000062E-3</v>
      </c>
      <c r="D44">
        <f t="shared" si="0"/>
        <v>4.1000000000000009E-2</v>
      </c>
      <c r="E44">
        <f t="shared" si="0"/>
        <v>0.11799999999999999</v>
      </c>
      <c r="F44">
        <f t="shared" si="0"/>
        <v>4.5000000000000012E-2</v>
      </c>
      <c r="G44">
        <f t="shared" si="0"/>
        <v>0.27800000000000002</v>
      </c>
      <c r="H44">
        <f t="shared" si="0"/>
        <v>0.215</v>
      </c>
      <c r="I44">
        <f t="shared" si="0"/>
        <v>1.9000000000000003E-2</v>
      </c>
      <c r="J44">
        <f t="shared" si="0"/>
        <v>1.3999999999999999E-2</v>
      </c>
      <c r="K44">
        <f t="shared" si="0"/>
        <v>0.39800000000000002</v>
      </c>
      <c r="L44" s="40">
        <f t="shared" si="0"/>
        <v>5.0000000000000017E-2</v>
      </c>
      <c r="M44">
        <f t="shared" si="0"/>
        <v>-1.0000000000000009E-3</v>
      </c>
      <c r="O44" s="55"/>
      <c r="P44">
        <f t="shared" si="4"/>
        <v>1.0999999999999996E-2</v>
      </c>
      <c r="Q44">
        <f t="shared" si="5"/>
        <v>3.0000000000000027E-3</v>
      </c>
      <c r="R44">
        <f t="shared" si="6"/>
        <v>3.9000000000000007E-2</v>
      </c>
      <c r="S44">
        <f t="shared" si="7"/>
        <v>0.14899999999999999</v>
      </c>
      <c r="T44">
        <f t="shared" si="8"/>
        <v>4.7000000000000014E-2</v>
      </c>
      <c r="U44">
        <f t="shared" si="9"/>
        <v>0.26</v>
      </c>
      <c r="V44">
        <f t="shared" si="10"/>
        <v>0.24000000000000002</v>
      </c>
      <c r="W44">
        <f t="shared" si="11"/>
        <v>5.6999999999999995E-2</v>
      </c>
      <c r="X44">
        <f t="shared" si="12"/>
        <v>2.7999999999999997E-2</v>
      </c>
      <c r="Y44">
        <f t="shared" si="13"/>
        <v>0.33699999999999997</v>
      </c>
      <c r="Z44" s="40">
        <f t="shared" si="14"/>
        <v>9.4E-2</v>
      </c>
      <c r="AA44">
        <f t="shared" si="15"/>
        <v>1.0000000000000009E-3</v>
      </c>
      <c r="AC44" s="55"/>
      <c r="AD44">
        <f t="shared" si="16"/>
        <v>1.1999999999999997E-2</v>
      </c>
      <c r="AE44">
        <f t="shared" si="17"/>
        <v>6.0000000000000053E-3</v>
      </c>
      <c r="AF44">
        <f t="shared" si="18"/>
        <v>3.6000000000000004E-2</v>
      </c>
      <c r="AG44">
        <f t="shared" si="19"/>
        <v>0.158</v>
      </c>
      <c r="AH44">
        <f t="shared" si="20"/>
        <v>4.1000000000000009E-2</v>
      </c>
      <c r="AI44">
        <f t="shared" si="21"/>
        <v>0.24300000000000002</v>
      </c>
      <c r="AJ44">
        <f t="shared" si="22"/>
        <v>0.23200000000000001</v>
      </c>
      <c r="AK44">
        <f t="shared" si="23"/>
        <v>2.0000000000000004E-2</v>
      </c>
      <c r="AL44">
        <f t="shared" si="24"/>
        <v>6.9999999999999923E-3</v>
      </c>
      <c r="AM44">
        <f t="shared" si="25"/>
        <v>0.36099999999999999</v>
      </c>
      <c r="AN44" s="40">
        <f t="shared" si="26"/>
        <v>4.6000000000000013E-2</v>
      </c>
      <c r="AO44">
        <f t="shared" si="27"/>
        <v>2.0000000000000018E-3</v>
      </c>
    </row>
    <row r="45" spans="1:41">
      <c r="A45" s="54" t="s">
        <v>2</v>
      </c>
      <c r="B45">
        <f t="shared" si="3"/>
        <v>0.15500000000000003</v>
      </c>
      <c r="C45">
        <f t="shared" si="0"/>
        <v>2.9000000000000012E-2</v>
      </c>
      <c r="D45">
        <f t="shared" si="0"/>
        <v>3.7999999999999992E-2</v>
      </c>
      <c r="E45">
        <f t="shared" si="0"/>
        <v>0.65900000000000003</v>
      </c>
      <c r="F45">
        <f t="shared" si="0"/>
        <v>0.127</v>
      </c>
      <c r="G45">
        <f t="shared" si="0"/>
        <v>5.2999999999999992E-2</v>
      </c>
      <c r="H45">
        <f t="shared" si="0"/>
        <v>4.200000000000001E-2</v>
      </c>
      <c r="I45">
        <f t="shared" si="0"/>
        <v>8.6999999999999994E-2</v>
      </c>
      <c r="J45">
        <f t="shared" si="0"/>
        <v>4.0000000000000008E-2</v>
      </c>
      <c r="K45">
        <f t="shared" si="0"/>
        <v>4.3999999999999997E-2</v>
      </c>
      <c r="L45">
        <f t="shared" si="0"/>
        <v>4.3999999999999997E-2</v>
      </c>
      <c r="M45">
        <f t="shared" si="0"/>
        <v>0.84499999999999986</v>
      </c>
      <c r="O45" s="54" t="s">
        <v>2</v>
      </c>
      <c r="P45" s="39">
        <f t="shared" si="4"/>
        <v>4.5999999999999999E-2</v>
      </c>
      <c r="Q45">
        <f t="shared" si="5"/>
        <v>3.7999999999999992E-2</v>
      </c>
      <c r="R45">
        <f t="shared" si="6"/>
        <v>5.8999999999999983E-2</v>
      </c>
      <c r="S45">
        <f t="shared" si="7"/>
        <v>0.73199999999999998</v>
      </c>
      <c r="T45">
        <f t="shared" si="8"/>
        <v>0.185</v>
      </c>
      <c r="U45">
        <f t="shared" si="9"/>
        <v>3.7000000000000005E-2</v>
      </c>
      <c r="V45">
        <f t="shared" si="10"/>
        <v>8.1000000000000016E-2</v>
      </c>
      <c r="W45">
        <f t="shared" si="11"/>
        <v>0.09</v>
      </c>
      <c r="X45">
        <f t="shared" si="12"/>
        <v>8.1000000000000016E-2</v>
      </c>
      <c r="Y45">
        <f t="shared" si="13"/>
        <v>7.9000000000000001E-2</v>
      </c>
      <c r="Z45">
        <f t="shared" si="14"/>
        <v>5.1000000000000004E-2</v>
      </c>
      <c r="AA45">
        <f t="shared" si="15"/>
        <v>0.79099999999999993</v>
      </c>
      <c r="AC45" s="54" t="s">
        <v>2</v>
      </c>
      <c r="AD45">
        <f t="shared" si="16"/>
        <v>0.104</v>
      </c>
      <c r="AE45">
        <f t="shared" si="17"/>
        <v>3.599999999999999E-2</v>
      </c>
      <c r="AF45">
        <f t="shared" si="18"/>
        <v>3.7999999999999992E-2</v>
      </c>
      <c r="AG45">
        <f t="shared" si="19"/>
        <v>0.70899999999999996</v>
      </c>
      <c r="AH45">
        <f t="shared" si="20"/>
        <v>0.48599999999999999</v>
      </c>
      <c r="AI45">
        <f t="shared" si="21"/>
        <v>3.2000000000000001E-2</v>
      </c>
      <c r="AJ45">
        <f t="shared" si="22"/>
        <v>4.4000000000000011E-2</v>
      </c>
      <c r="AK45">
        <f t="shared" si="23"/>
        <v>6.4000000000000001E-2</v>
      </c>
      <c r="AL45">
        <f t="shared" si="24"/>
        <v>3.8000000000000006E-2</v>
      </c>
      <c r="AM45">
        <f t="shared" si="25"/>
        <v>9.6999999999999989E-2</v>
      </c>
      <c r="AN45">
        <f t="shared" si="26"/>
        <v>4.0999999999999995E-2</v>
      </c>
      <c r="AO45">
        <f t="shared" si="27"/>
        <v>0.83399999999999996</v>
      </c>
    </row>
    <row r="46" spans="1:41">
      <c r="A46" s="55"/>
      <c r="B46" s="39">
        <f t="shared" si="3"/>
        <v>4.8000000000000015E-2</v>
      </c>
      <c r="C46">
        <f t="shared" si="0"/>
        <v>1.0999999999999996E-2</v>
      </c>
      <c r="D46">
        <f t="shared" si="0"/>
        <v>2.0000000000000004E-2</v>
      </c>
      <c r="E46">
        <f t="shared" si="0"/>
        <v>0.36499999999999999</v>
      </c>
      <c r="F46">
        <f t="shared" si="0"/>
        <v>7.4999999999999997E-2</v>
      </c>
      <c r="G46">
        <f t="shared" si="0"/>
        <v>2.4000000000000007E-2</v>
      </c>
      <c r="H46">
        <f t="shared" si="0"/>
        <v>2.1000000000000005E-2</v>
      </c>
      <c r="I46">
        <f t="shared" si="0"/>
        <v>1.2999999999999998E-2</v>
      </c>
      <c r="J46">
        <f t="shared" si="0"/>
        <v>2.0000000000000004E-2</v>
      </c>
      <c r="K46">
        <f t="shared" si="0"/>
        <v>2.0000000000000004E-2</v>
      </c>
      <c r="L46">
        <f t="shared" si="0"/>
        <v>2.4000000000000007E-2</v>
      </c>
      <c r="M46">
        <f t="shared" ref="C46:M51" si="28">M8-M27</f>
        <v>0.45399999999999996</v>
      </c>
      <c r="O46" s="55"/>
      <c r="P46" s="39">
        <f t="shared" si="4"/>
        <v>2.1000000000000005E-2</v>
      </c>
      <c r="Q46">
        <f t="shared" si="5"/>
        <v>1.7000000000000001E-2</v>
      </c>
      <c r="R46">
        <f t="shared" si="6"/>
        <v>2.8000000000000011E-2</v>
      </c>
      <c r="S46">
        <f t="shared" si="7"/>
        <v>0.39900000000000002</v>
      </c>
      <c r="T46">
        <f t="shared" si="8"/>
        <v>0.11</v>
      </c>
      <c r="U46">
        <f t="shared" si="9"/>
        <v>2.0000000000000004E-2</v>
      </c>
      <c r="V46">
        <f t="shared" si="10"/>
        <v>2.5000000000000008E-2</v>
      </c>
      <c r="W46">
        <f t="shared" si="11"/>
        <v>1.7000000000000001E-2</v>
      </c>
      <c r="X46">
        <f t="shared" si="12"/>
        <v>4.8000000000000015E-2</v>
      </c>
      <c r="Y46">
        <f t="shared" si="13"/>
        <v>1.7000000000000001E-2</v>
      </c>
      <c r="Z46">
        <f t="shared" si="14"/>
        <v>2.700000000000001E-2</v>
      </c>
      <c r="AA46">
        <f t="shared" si="15"/>
        <v>0.40200000000000002</v>
      </c>
      <c r="AC46" s="55"/>
      <c r="AD46" s="39">
        <f t="shared" si="16"/>
        <v>2.6000000000000009E-2</v>
      </c>
      <c r="AE46">
        <f t="shared" si="17"/>
        <v>1.7000000000000001E-2</v>
      </c>
      <c r="AF46">
        <f t="shared" si="18"/>
        <v>2.0000000000000004E-2</v>
      </c>
      <c r="AG46">
        <f t="shared" si="19"/>
        <v>0.40900000000000003</v>
      </c>
      <c r="AH46">
        <f t="shared" si="20"/>
        <v>0.27899999999999997</v>
      </c>
      <c r="AI46">
        <f t="shared" si="21"/>
        <v>1.7000000000000001E-2</v>
      </c>
      <c r="AJ46">
        <f t="shared" si="22"/>
        <v>2.3000000000000007E-2</v>
      </c>
      <c r="AK46">
        <f t="shared" si="23"/>
        <v>1.4999999999999999E-2</v>
      </c>
      <c r="AL46">
        <f t="shared" si="24"/>
        <v>1.9000000000000003E-2</v>
      </c>
      <c r="AM46">
        <f t="shared" si="25"/>
        <v>5.7999999999999996E-2</v>
      </c>
      <c r="AN46">
        <f t="shared" si="26"/>
        <v>2.3000000000000007E-2</v>
      </c>
      <c r="AO46">
        <f t="shared" si="27"/>
        <v>0.43800000000000006</v>
      </c>
    </row>
    <row r="47" spans="1:41">
      <c r="A47" s="54" t="s">
        <v>3</v>
      </c>
      <c r="B47">
        <f t="shared" si="3"/>
        <v>0.17599999999999999</v>
      </c>
      <c r="C47">
        <f t="shared" si="28"/>
        <v>3.599999999999999E-2</v>
      </c>
      <c r="D47" s="40">
        <f t="shared" si="28"/>
        <v>3.2999999999999988E-2</v>
      </c>
      <c r="E47">
        <f t="shared" si="28"/>
        <v>2.4999999999999994E-2</v>
      </c>
      <c r="F47" s="40">
        <f t="shared" si="28"/>
        <v>3.7999999999999992E-2</v>
      </c>
      <c r="G47">
        <f t="shared" si="28"/>
        <v>-0.15500000000000003</v>
      </c>
      <c r="H47">
        <f t="shared" si="28"/>
        <v>0.51700000000000002</v>
      </c>
      <c r="I47">
        <f t="shared" si="28"/>
        <v>0.53300000000000003</v>
      </c>
      <c r="J47">
        <f t="shared" si="28"/>
        <v>2.1000000000000019E-2</v>
      </c>
      <c r="K47">
        <f t="shared" si="28"/>
        <v>1.5739999999999998</v>
      </c>
      <c r="L47">
        <f t="shared" si="28"/>
        <v>2.9999999999999985E-2</v>
      </c>
      <c r="M47">
        <f t="shared" si="28"/>
        <v>2.2999999999999993E-2</v>
      </c>
      <c r="O47" s="54" t="s">
        <v>3</v>
      </c>
      <c r="P47" s="39">
        <f t="shared" si="4"/>
        <v>3.9999999999999994E-2</v>
      </c>
      <c r="Q47">
        <f t="shared" si="5"/>
        <v>3.599999999999999E-2</v>
      </c>
      <c r="R47">
        <f t="shared" si="6"/>
        <v>0.10299999999999999</v>
      </c>
      <c r="S47">
        <f t="shared" si="7"/>
        <v>2.7999999999999997E-2</v>
      </c>
      <c r="T47">
        <f t="shared" si="8"/>
        <v>0.105</v>
      </c>
      <c r="U47">
        <f t="shared" si="9"/>
        <v>-0.11099999999999999</v>
      </c>
      <c r="V47">
        <f t="shared" si="10"/>
        <v>0.56900000000000006</v>
      </c>
      <c r="W47">
        <f t="shared" si="11"/>
        <v>0.76400000000000001</v>
      </c>
      <c r="X47">
        <f t="shared" si="12"/>
        <v>5.2999999999999992E-2</v>
      </c>
      <c r="Y47" s="40">
        <f t="shared" si="13"/>
        <v>4.2999999999999997E-2</v>
      </c>
      <c r="Z47">
        <f t="shared" si="14"/>
        <v>3.1999999999999987E-2</v>
      </c>
      <c r="AA47">
        <f t="shared" si="15"/>
        <v>2.200000000000002E-2</v>
      </c>
      <c r="AC47" s="54" t="s">
        <v>3</v>
      </c>
      <c r="AD47">
        <f t="shared" si="16"/>
        <v>0.25800000000000001</v>
      </c>
      <c r="AE47">
        <f t="shared" si="17"/>
        <v>3.6999999999999991E-2</v>
      </c>
      <c r="AF47" s="40">
        <f t="shared" si="18"/>
        <v>6.699999999999999E-2</v>
      </c>
      <c r="AG47">
        <f t="shared" si="19"/>
        <v>4.0000000000000008E-2</v>
      </c>
      <c r="AH47" s="40">
        <f t="shared" si="20"/>
        <v>5.1000000000000004E-2</v>
      </c>
      <c r="AI47">
        <f t="shared" si="21"/>
        <v>-0.184</v>
      </c>
      <c r="AJ47">
        <f t="shared" si="22"/>
        <v>0.621</v>
      </c>
      <c r="AK47">
        <f t="shared" si="23"/>
        <v>0.71099999999999997</v>
      </c>
      <c r="AL47">
        <f t="shared" si="24"/>
        <v>2.4999999999999994E-2</v>
      </c>
      <c r="AM47" s="40">
        <f t="shared" si="25"/>
        <v>4.8000000000000001E-2</v>
      </c>
      <c r="AN47">
        <f t="shared" si="26"/>
        <v>2.7999999999999983E-2</v>
      </c>
      <c r="AO47">
        <f t="shared" si="27"/>
        <v>2.200000000000002E-2</v>
      </c>
    </row>
    <row r="48" spans="1:41">
      <c r="A48" s="55"/>
      <c r="B48" s="39">
        <f t="shared" si="3"/>
        <v>7.400000000000001E-2</v>
      </c>
      <c r="C48">
        <f t="shared" si="28"/>
        <v>1.8999999999999989E-2</v>
      </c>
      <c r="D48" s="40">
        <f t="shared" si="28"/>
        <v>1.4999999999999999E-2</v>
      </c>
      <c r="E48">
        <f t="shared" si="28"/>
        <v>-1.8000000000000002E-2</v>
      </c>
      <c r="F48" s="40">
        <f t="shared" si="28"/>
        <v>1.7999999999999988E-2</v>
      </c>
      <c r="G48">
        <f t="shared" si="28"/>
        <v>5.4999999999999993E-2</v>
      </c>
      <c r="H48">
        <f t="shared" si="28"/>
        <v>0.19300000000000003</v>
      </c>
      <c r="I48">
        <f t="shared" si="28"/>
        <v>0.22900000000000001</v>
      </c>
      <c r="J48">
        <f t="shared" si="28"/>
        <v>5.0000000000000044E-3</v>
      </c>
      <c r="K48" s="40">
        <f t="shared" si="28"/>
        <v>0.50900000000000001</v>
      </c>
      <c r="L48">
        <f t="shared" si="28"/>
        <v>1.3000000000000012E-2</v>
      </c>
      <c r="M48">
        <f t="shared" si="28"/>
        <v>9.000000000000008E-3</v>
      </c>
      <c r="O48" s="55"/>
      <c r="P48" s="39">
        <f t="shared" si="4"/>
        <v>1.7000000000000001E-2</v>
      </c>
      <c r="Q48">
        <f t="shared" si="5"/>
        <v>1.7999999999999988E-2</v>
      </c>
      <c r="R48" s="40">
        <f t="shared" si="6"/>
        <v>3.3000000000000002E-2</v>
      </c>
      <c r="S48">
        <f t="shared" si="7"/>
        <v>-1.8000000000000002E-2</v>
      </c>
      <c r="T48" s="40">
        <f t="shared" si="8"/>
        <v>4.9000000000000002E-2</v>
      </c>
      <c r="U48">
        <f t="shared" si="9"/>
        <v>5.6999999999999995E-2</v>
      </c>
      <c r="V48">
        <f t="shared" si="10"/>
        <v>0.219</v>
      </c>
      <c r="W48">
        <f t="shared" si="11"/>
        <v>0.41200000000000003</v>
      </c>
      <c r="X48">
        <f t="shared" si="12"/>
        <v>7.0000000000000062E-3</v>
      </c>
      <c r="Y48" s="40">
        <f t="shared" si="13"/>
        <v>2.4000000000000007E-2</v>
      </c>
      <c r="Z48">
        <f t="shared" si="14"/>
        <v>1.4000000000000012E-2</v>
      </c>
      <c r="AA48">
        <f t="shared" si="15"/>
        <v>8.0000000000000071E-3</v>
      </c>
      <c r="AC48" s="55"/>
      <c r="AD48" s="39">
        <f t="shared" si="16"/>
        <v>0.122</v>
      </c>
      <c r="AE48">
        <f t="shared" si="17"/>
        <v>1.7999999999999988E-2</v>
      </c>
      <c r="AF48" s="40">
        <f t="shared" si="18"/>
        <v>3.1E-2</v>
      </c>
      <c r="AG48">
        <f t="shared" si="19"/>
        <v>3.9999999999999897E-3</v>
      </c>
      <c r="AH48" s="40">
        <f t="shared" si="20"/>
        <v>2.6999999999999996E-2</v>
      </c>
      <c r="AI48">
        <f t="shared" si="21"/>
        <v>5.5999999999999994E-2</v>
      </c>
      <c r="AJ48">
        <f t="shared" si="22"/>
        <v>0.253</v>
      </c>
      <c r="AK48">
        <f t="shared" si="23"/>
        <v>0.34099999999999997</v>
      </c>
      <c r="AL48">
        <f t="shared" si="24"/>
        <v>8.0000000000000071E-3</v>
      </c>
      <c r="AM48" s="40">
        <f t="shared" si="25"/>
        <v>2.8000000000000011E-2</v>
      </c>
      <c r="AN48">
        <f t="shared" si="26"/>
        <v>1.3000000000000012E-2</v>
      </c>
      <c r="AO48">
        <f t="shared" si="27"/>
        <v>9.000000000000008E-3</v>
      </c>
    </row>
    <row r="49" spans="1:41">
      <c r="A49" s="54" t="s">
        <v>4</v>
      </c>
      <c r="B49">
        <f t="shared" si="3"/>
        <v>-2.700000000000001E-2</v>
      </c>
      <c r="C49">
        <f t="shared" si="28"/>
        <v>2.1000000000000005E-2</v>
      </c>
      <c r="D49" s="40">
        <f t="shared" si="28"/>
        <v>3.0999999999999986E-2</v>
      </c>
      <c r="E49">
        <f t="shared" si="28"/>
        <v>0.16499999999999998</v>
      </c>
      <c r="F49">
        <f t="shared" si="28"/>
        <v>0.27800000000000002</v>
      </c>
      <c r="G49">
        <f t="shared" si="28"/>
        <v>3.7000000000000005E-2</v>
      </c>
      <c r="H49">
        <f t="shared" si="28"/>
        <v>3.2000000000000001E-2</v>
      </c>
      <c r="I49">
        <f t="shared" si="28"/>
        <v>1.034</v>
      </c>
      <c r="J49">
        <f t="shared" si="28"/>
        <v>0.75700000000000001</v>
      </c>
      <c r="K49">
        <f t="shared" si="28"/>
        <v>3.4999999999999989E-2</v>
      </c>
      <c r="L49">
        <f t="shared" si="28"/>
        <v>2.4000000000000007E-2</v>
      </c>
      <c r="M49">
        <f t="shared" si="28"/>
        <v>0.28600000000000003</v>
      </c>
      <c r="O49" s="54" t="s">
        <v>4</v>
      </c>
      <c r="P49">
        <f t="shared" si="4"/>
        <v>-3.3000000000000002E-2</v>
      </c>
      <c r="Q49">
        <f t="shared" si="5"/>
        <v>1.9000000000000003E-2</v>
      </c>
      <c r="R49" s="40">
        <f t="shared" si="6"/>
        <v>3.4999999999999989E-2</v>
      </c>
      <c r="S49">
        <f t="shared" si="7"/>
        <v>0.16599999999999998</v>
      </c>
      <c r="T49">
        <f t="shared" si="8"/>
        <v>0.30200000000000005</v>
      </c>
      <c r="U49">
        <f t="shared" si="9"/>
        <v>6.7000000000000004E-2</v>
      </c>
      <c r="V49">
        <f t="shared" si="10"/>
        <v>3.9000000000000007E-2</v>
      </c>
      <c r="W49" s="39">
        <f t="shared" si="11"/>
        <v>7.3999999999999996E-2</v>
      </c>
      <c r="X49">
        <f t="shared" si="12"/>
        <v>0.53</v>
      </c>
      <c r="Y49">
        <f t="shared" si="13"/>
        <v>3.6999999999999991E-2</v>
      </c>
      <c r="Z49">
        <f t="shared" si="14"/>
        <v>5.5000000000000007E-2</v>
      </c>
      <c r="AA49">
        <f t="shared" si="15"/>
        <v>0.31200000000000006</v>
      </c>
      <c r="AC49" s="54" t="s">
        <v>4</v>
      </c>
      <c r="AD49">
        <f t="shared" si="16"/>
        <v>-4.300000000000001E-2</v>
      </c>
      <c r="AE49">
        <f t="shared" si="17"/>
        <v>2.2000000000000006E-2</v>
      </c>
      <c r="AF49">
        <f t="shared" si="18"/>
        <v>0.34100000000000003</v>
      </c>
      <c r="AG49">
        <f t="shared" si="19"/>
        <v>0.16899999999999998</v>
      </c>
      <c r="AH49">
        <f t="shared" si="20"/>
        <v>0.31100000000000005</v>
      </c>
      <c r="AI49">
        <f t="shared" si="21"/>
        <v>3.3000000000000002E-2</v>
      </c>
      <c r="AJ49">
        <f t="shared" si="22"/>
        <v>3.6000000000000004E-2</v>
      </c>
      <c r="AK49">
        <f t="shared" si="23"/>
        <v>1.2550000000000001</v>
      </c>
      <c r="AL49">
        <f t="shared" si="24"/>
        <v>0.53200000000000003</v>
      </c>
      <c r="AM49">
        <f t="shared" si="25"/>
        <v>7.3999999999999996E-2</v>
      </c>
      <c r="AN49">
        <f t="shared" si="26"/>
        <v>2.6999999999999982E-2</v>
      </c>
      <c r="AO49">
        <f t="shared" si="27"/>
        <v>0.27300000000000002</v>
      </c>
    </row>
    <row r="50" spans="1:41">
      <c r="A50" s="55"/>
      <c r="B50">
        <f t="shared" si="3"/>
        <v>-3.8000000000000006E-2</v>
      </c>
      <c r="C50">
        <f t="shared" si="28"/>
        <v>5.0000000000000044E-3</v>
      </c>
      <c r="D50" s="40">
        <f t="shared" si="28"/>
        <v>1.2999999999999998E-2</v>
      </c>
      <c r="E50">
        <f t="shared" si="28"/>
        <v>0.11599999999999999</v>
      </c>
      <c r="F50" s="42">
        <f t="shared" si="28"/>
        <v>5.9999999999999915E-3</v>
      </c>
      <c r="G50">
        <f t="shared" si="28"/>
        <v>1.6E-2</v>
      </c>
      <c r="H50">
        <f t="shared" si="28"/>
        <v>1.7000000000000001E-2</v>
      </c>
      <c r="I50" s="39">
        <f t="shared" si="28"/>
        <v>0.23600000000000002</v>
      </c>
      <c r="J50">
        <f t="shared" si="28"/>
        <v>0.20099999999999998</v>
      </c>
      <c r="K50">
        <f t="shared" si="28"/>
        <v>1.2000000000000011E-2</v>
      </c>
      <c r="L50">
        <f t="shared" si="28"/>
        <v>1.0000000000000009E-2</v>
      </c>
      <c r="M50" s="42">
        <f t="shared" si="28"/>
        <v>2.4000000000000007E-2</v>
      </c>
      <c r="O50" s="55"/>
      <c r="P50">
        <f t="shared" si="4"/>
        <v>-4.4999999999999998E-2</v>
      </c>
      <c r="Q50">
        <f t="shared" si="5"/>
        <v>3.0000000000000027E-3</v>
      </c>
      <c r="R50" s="40">
        <f t="shared" si="6"/>
        <v>1.7000000000000001E-2</v>
      </c>
      <c r="S50">
        <f t="shared" si="7"/>
        <v>0.11899999999999999</v>
      </c>
      <c r="T50" s="42">
        <f t="shared" si="8"/>
        <v>1.1999999999999997E-2</v>
      </c>
      <c r="U50">
        <f t="shared" si="9"/>
        <v>1.7000000000000001E-2</v>
      </c>
      <c r="V50">
        <f t="shared" si="10"/>
        <v>2.0000000000000004E-2</v>
      </c>
      <c r="W50" s="39">
        <f t="shared" si="11"/>
        <v>4.5000000000000012E-2</v>
      </c>
      <c r="X50">
        <f t="shared" si="12"/>
        <v>0.10200000000000001</v>
      </c>
      <c r="Y50">
        <f t="shared" si="13"/>
        <v>1.2000000000000011E-2</v>
      </c>
      <c r="Z50">
        <f t="shared" si="14"/>
        <v>2.1000000000000005E-2</v>
      </c>
      <c r="AA50" s="42">
        <f t="shared" si="15"/>
        <v>2.6000000000000009E-2</v>
      </c>
      <c r="AC50" s="55"/>
      <c r="AD50">
        <f t="shared" si="16"/>
        <v>-0.05</v>
      </c>
      <c r="AE50">
        <f t="shared" si="17"/>
        <v>5.0000000000000044E-3</v>
      </c>
      <c r="AF50" s="40">
        <f t="shared" si="18"/>
        <v>7.0000000000000007E-2</v>
      </c>
      <c r="AG50">
        <f t="shared" si="19"/>
        <v>0.10899999999999999</v>
      </c>
      <c r="AH50" s="42">
        <f t="shared" si="20"/>
        <v>1.0999999999999996E-2</v>
      </c>
      <c r="AI50">
        <f t="shared" si="21"/>
        <v>1.3999999999999999E-2</v>
      </c>
      <c r="AJ50">
        <f t="shared" si="22"/>
        <v>1.9000000000000003E-2</v>
      </c>
      <c r="AK50" s="39">
        <f t="shared" si="23"/>
        <v>0.40700000000000003</v>
      </c>
      <c r="AL50">
        <f t="shared" si="24"/>
        <v>0.13200000000000001</v>
      </c>
      <c r="AM50">
        <f t="shared" si="25"/>
        <v>3.7000000000000005E-2</v>
      </c>
      <c r="AN50">
        <f t="shared" si="26"/>
        <v>1.2999999999999998E-2</v>
      </c>
      <c r="AO50" s="42">
        <f t="shared" si="27"/>
        <v>2.5000000000000008E-2</v>
      </c>
    </row>
    <row r="51" spans="1:41">
      <c r="A51" s="54" t="s">
        <v>5</v>
      </c>
      <c r="B51" s="40">
        <f t="shared" si="3"/>
        <v>1.9000000000000017E-2</v>
      </c>
      <c r="C51">
        <f t="shared" si="28"/>
        <v>2.6000000000000009E-2</v>
      </c>
      <c r="D51">
        <f t="shared" si="28"/>
        <v>1.8000000000000016E-2</v>
      </c>
      <c r="E51">
        <f t="shared" si="28"/>
        <v>0.03</v>
      </c>
      <c r="F51">
        <f t="shared" si="28"/>
        <v>0.16900000000000004</v>
      </c>
      <c r="G51">
        <f t="shared" si="28"/>
        <v>2.7999999999999997E-2</v>
      </c>
      <c r="H51">
        <f t="shared" ref="C51:M55" si="29">H13-H32</f>
        <v>5.2000000000000005E-2</v>
      </c>
      <c r="I51">
        <f t="shared" si="29"/>
        <v>0.03</v>
      </c>
      <c r="J51">
        <f t="shared" si="29"/>
        <v>0.15299999999999997</v>
      </c>
      <c r="K51" s="40">
        <f t="shared" si="29"/>
        <v>1.7999999999999988E-2</v>
      </c>
      <c r="L51">
        <f t="shared" si="29"/>
        <v>2.7999999999999983E-2</v>
      </c>
      <c r="M51">
        <f t="shared" si="29"/>
        <v>0.49399999999999999</v>
      </c>
      <c r="O51" s="54" t="s">
        <v>5</v>
      </c>
      <c r="P51">
        <f t="shared" si="4"/>
        <v>0.28400000000000003</v>
      </c>
      <c r="Q51">
        <f t="shared" si="5"/>
        <v>2.6000000000000009E-2</v>
      </c>
      <c r="R51">
        <f t="shared" si="6"/>
        <v>-2.0000000000000018E-3</v>
      </c>
      <c r="S51">
        <f t="shared" si="7"/>
        <v>2.6999999999999996E-2</v>
      </c>
      <c r="T51">
        <f t="shared" si="8"/>
        <v>0.20700000000000002</v>
      </c>
      <c r="U51">
        <f t="shared" si="9"/>
        <v>5.4999999999999993E-2</v>
      </c>
      <c r="V51">
        <f t="shared" si="10"/>
        <v>4.2999999999999997E-2</v>
      </c>
      <c r="W51">
        <f t="shared" si="11"/>
        <v>5.4999999999999993E-2</v>
      </c>
      <c r="X51">
        <f t="shared" si="12"/>
        <v>0.188</v>
      </c>
      <c r="Y51" s="40">
        <f t="shared" si="13"/>
        <v>1.8999999999999989E-2</v>
      </c>
      <c r="Z51">
        <f t="shared" si="14"/>
        <v>3.3999999999999989E-2</v>
      </c>
      <c r="AA51" s="40">
        <f t="shared" si="15"/>
        <v>-8.9999999999999802E-3</v>
      </c>
      <c r="AC51" s="54" t="s">
        <v>5</v>
      </c>
      <c r="AD51" s="40">
        <f t="shared" si="16"/>
        <v>1.8000000000000016E-2</v>
      </c>
      <c r="AE51">
        <f t="shared" si="17"/>
        <v>3.0999999999999986E-2</v>
      </c>
      <c r="AF51">
        <f t="shared" si="18"/>
        <v>0.1</v>
      </c>
      <c r="AG51">
        <f t="shared" si="19"/>
        <v>6.7000000000000004E-2</v>
      </c>
      <c r="AH51" s="39">
        <f t="shared" si="20"/>
        <v>8.8000000000000009E-2</v>
      </c>
      <c r="AI51">
        <f t="shared" si="21"/>
        <v>5.7999999999999996E-2</v>
      </c>
      <c r="AJ51">
        <f t="shared" si="22"/>
        <v>7.1999999999999995E-2</v>
      </c>
      <c r="AK51">
        <f t="shared" si="23"/>
        <v>1.3000000000000012E-2</v>
      </c>
      <c r="AL51">
        <f t="shared" si="24"/>
        <v>0.15599999999999997</v>
      </c>
      <c r="AM51">
        <f t="shared" si="25"/>
        <v>0.504</v>
      </c>
      <c r="AN51">
        <f t="shared" si="26"/>
        <v>2.2000000000000006E-2</v>
      </c>
      <c r="AO51" s="40">
        <f t="shared" si="27"/>
        <v>-4.9999999999999767E-3</v>
      </c>
    </row>
    <row r="52" spans="1:41">
      <c r="A52" s="55"/>
      <c r="B52" s="40">
        <f t="shared" si="3"/>
        <v>4.0000000000000036E-3</v>
      </c>
      <c r="C52">
        <f t="shared" si="29"/>
        <v>8.0000000000000071E-3</v>
      </c>
      <c r="D52">
        <f t="shared" si="29"/>
        <v>2.0000000000000018E-3</v>
      </c>
      <c r="E52">
        <f t="shared" si="29"/>
        <v>1.1999999999999997E-2</v>
      </c>
      <c r="F52" s="39">
        <f t="shared" si="29"/>
        <v>2.3999999999999994E-2</v>
      </c>
      <c r="G52">
        <f t="shared" si="29"/>
        <v>1.0999999999999996E-2</v>
      </c>
      <c r="H52">
        <f t="shared" si="29"/>
        <v>2.3999999999999994E-2</v>
      </c>
      <c r="I52">
        <f t="shared" si="29"/>
        <v>1.0999999999999996E-2</v>
      </c>
      <c r="J52">
        <f t="shared" si="29"/>
        <v>6.0000000000000053E-3</v>
      </c>
      <c r="K52" s="40">
        <f t="shared" si="29"/>
        <v>1.0000000000000009E-2</v>
      </c>
      <c r="L52">
        <f t="shared" si="29"/>
        <v>1.2000000000000011E-2</v>
      </c>
      <c r="M52" s="40">
        <f t="shared" si="29"/>
        <v>7.2999999999999995E-2</v>
      </c>
      <c r="O52" s="55"/>
      <c r="P52" s="40">
        <f t="shared" si="4"/>
        <v>9.6000000000000002E-2</v>
      </c>
      <c r="Q52">
        <f t="shared" si="5"/>
        <v>1.0000000000000009E-2</v>
      </c>
      <c r="R52">
        <f t="shared" si="6"/>
        <v>-4.0000000000000036E-3</v>
      </c>
      <c r="S52">
        <f t="shared" si="7"/>
        <v>9.999999999999995E-3</v>
      </c>
      <c r="T52" s="39">
        <f t="shared" si="8"/>
        <v>3.6999999999999991E-2</v>
      </c>
      <c r="U52">
        <f t="shared" si="9"/>
        <v>2.6999999999999996E-2</v>
      </c>
      <c r="V52">
        <f t="shared" si="10"/>
        <v>2.3999999999999994E-2</v>
      </c>
      <c r="W52">
        <f t="shared" si="11"/>
        <v>3.1E-2</v>
      </c>
      <c r="X52">
        <f t="shared" si="12"/>
        <v>3.9000000000000007E-2</v>
      </c>
      <c r="Y52" s="40">
        <f t="shared" si="13"/>
        <v>1.100000000000001E-2</v>
      </c>
      <c r="Z52">
        <f t="shared" si="14"/>
        <v>1.6E-2</v>
      </c>
      <c r="AA52" s="40">
        <f t="shared" si="15"/>
        <v>-1.9000000000000003E-2</v>
      </c>
      <c r="AC52" s="55"/>
      <c r="AD52" s="40">
        <f t="shared" si="16"/>
        <v>2.0000000000000018E-3</v>
      </c>
      <c r="AE52">
        <f t="shared" si="17"/>
        <v>1.3000000000000012E-2</v>
      </c>
      <c r="AF52">
        <f t="shared" si="18"/>
        <v>2.6000000000000009E-2</v>
      </c>
      <c r="AG52">
        <f t="shared" si="19"/>
        <v>2.0000000000000004E-2</v>
      </c>
      <c r="AH52" s="39">
        <f t="shared" si="20"/>
        <v>1.7999999999999988E-2</v>
      </c>
      <c r="AI52">
        <f t="shared" si="21"/>
        <v>1.1999999999999997E-2</v>
      </c>
      <c r="AJ52">
        <f t="shared" si="22"/>
        <v>3.4999999999999989E-2</v>
      </c>
      <c r="AK52">
        <f t="shared" si="23"/>
        <v>1.0000000000000009E-3</v>
      </c>
      <c r="AL52">
        <f t="shared" si="24"/>
        <v>9.000000000000008E-3</v>
      </c>
      <c r="AM52" s="40">
        <f t="shared" si="25"/>
        <v>0.121</v>
      </c>
      <c r="AN52">
        <f t="shared" si="26"/>
        <v>9.000000000000008E-3</v>
      </c>
      <c r="AO52" s="40">
        <f t="shared" si="27"/>
        <v>-1.4999999999999999E-2</v>
      </c>
    </row>
    <row r="53" spans="1:41">
      <c r="A53" s="54" t="s">
        <v>6</v>
      </c>
      <c r="B53">
        <f t="shared" si="3"/>
        <v>0.11999999999999998</v>
      </c>
      <c r="C53">
        <f t="shared" si="29"/>
        <v>0.48499999999999999</v>
      </c>
      <c r="D53">
        <f t="shared" si="29"/>
        <v>0.45299999999999996</v>
      </c>
      <c r="E53">
        <f t="shared" si="29"/>
        <v>0.10799999999999998</v>
      </c>
      <c r="F53" s="40">
        <f t="shared" si="29"/>
        <v>8.0000000000000071E-3</v>
      </c>
      <c r="G53">
        <f t="shared" si="29"/>
        <v>3.1999999999999987E-2</v>
      </c>
      <c r="H53">
        <f t="shared" si="29"/>
        <v>1.3000000000000012E-2</v>
      </c>
      <c r="I53">
        <f t="shared" si="29"/>
        <v>2.5999999999999995E-2</v>
      </c>
      <c r="J53">
        <f t="shared" si="29"/>
        <v>0.14100000000000001</v>
      </c>
      <c r="K53">
        <f t="shared" si="29"/>
        <v>0.29100000000000004</v>
      </c>
      <c r="L53">
        <f t="shared" si="29"/>
        <v>1.0999999999999996E-2</v>
      </c>
      <c r="M53">
        <f t="shared" si="29"/>
        <v>1.100000000000001E-2</v>
      </c>
      <c r="O53" s="54" t="s">
        <v>6</v>
      </c>
      <c r="P53" s="40">
        <f t="shared" si="4"/>
        <v>2.0000000000000004E-2</v>
      </c>
      <c r="Q53">
        <f t="shared" si="5"/>
        <v>0.12200000000000001</v>
      </c>
      <c r="R53" s="40">
        <f t="shared" si="6"/>
        <v>3.1999999999999987E-2</v>
      </c>
      <c r="S53">
        <f t="shared" si="7"/>
        <v>0.14600000000000002</v>
      </c>
      <c r="T53" s="40">
        <f t="shared" si="8"/>
        <v>1.2999999999999998E-2</v>
      </c>
      <c r="U53">
        <f t="shared" si="9"/>
        <v>3.0999999999999986E-2</v>
      </c>
      <c r="V53">
        <f t="shared" si="10"/>
        <v>1.5000000000000013E-2</v>
      </c>
      <c r="W53">
        <f t="shared" si="11"/>
        <v>6.4000000000000001E-2</v>
      </c>
      <c r="X53">
        <f t="shared" si="12"/>
        <v>0.21599999999999997</v>
      </c>
      <c r="Y53">
        <f t="shared" si="13"/>
        <v>0.24100000000000002</v>
      </c>
      <c r="Z53">
        <f t="shared" si="14"/>
        <v>5.5000000000000007E-2</v>
      </c>
      <c r="AA53">
        <f t="shared" si="15"/>
        <v>1.3999999999999985E-2</v>
      </c>
      <c r="AC53" s="54" t="s">
        <v>6</v>
      </c>
      <c r="AD53" s="40">
        <f t="shared" si="16"/>
        <v>2.6999999999999982E-2</v>
      </c>
      <c r="AE53">
        <f t="shared" si="17"/>
        <v>0.188</v>
      </c>
      <c r="AF53" s="40">
        <f t="shared" si="18"/>
        <v>2.9999999999999985E-2</v>
      </c>
      <c r="AG53">
        <f t="shared" si="19"/>
        <v>0.124</v>
      </c>
      <c r="AH53">
        <f t="shared" si="20"/>
        <v>0.13800000000000001</v>
      </c>
      <c r="AI53">
        <f t="shared" si="21"/>
        <v>2.399999999999998E-2</v>
      </c>
      <c r="AJ53">
        <f t="shared" si="22"/>
        <v>1.3000000000000012E-2</v>
      </c>
      <c r="AK53">
        <f t="shared" si="23"/>
        <v>7.5000000000000011E-2</v>
      </c>
      <c r="AL53">
        <f t="shared" si="24"/>
        <v>0.11299999999999999</v>
      </c>
      <c r="AM53">
        <f t="shared" si="25"/>
        <v>0.11500000000000002</v>
      </c>
      <c r="AN53">
        <f t="shared" si="26"/>
        <v>7.9999999999999932E-3</v>
      </c>
      <c r="AO53">
        <f t="shared" si="27"/>
        <v>4.1000000000000009E-2</v>
      </c>
    </row>
    <row r="54" spans="1:41">
      <c r="A54" s="55"/>
      <c r="B54" s="40">
        <f t="shared" si="3"/>
        <v>4.4000000000000011E-2</v>
      </c>
      <c r="C54" s="39">
        <f t="shared" si="29"/>
        <v>0.17299999999999999</v>
      </c>
      <c r="D54" s="40">
        <f t="shared" si="29"/>
        <v>9.8000000000000004E-2</v>
      </c>
      <c r="E54">
        <f t="shared" si="29"/>
        <v>6.0000000000000012E-2</v>
      </c>
      <c r="F54" s="40">
        <f t="shared" si="29"/>
        <v>-5.0000000000000044E-3</v>
      </c>
      <c r="G54">
        <f t="shared" si="29"/>
        <v>1.100000000000001E-2</v>
      </c>
      <c r="H54">
        <f t="shared" si="29"/>
        <v>-1.0000000000000009E-3</v>
      </c>
      <c r="I54">
        <f t="shared" si="29"/>
        <v>9.000000000000008E-3</v>
      </c>
      <c r="J54">
        <f t="shared" si="29"/>
        <v>1.6E-2</v>
      </c>
      <c r="K54">
        <f t="shared" si="29"/>
        <v>5.1999999999999991E-2</v>
      </c>
      <c r="L54">
        <f t="shared" si="29"/>
        <v>-3.9999999999999897E-3</v>
      </c>
      <c r="M54">
        <f t="shared" si="29"/>
        <v>-5.0000000000000044E-3</v>
      </c>
      <c r="O54" s="55"/>
      <c r="P54" s="40">
        <f t="shared" si="4"/>
        <v>6.0000000000000053E-3</v>
      </c>
      <c r="Q54" s="39">
        <f t="shared" si="5"/>
        <v>3.9999999999999994E-2</v>
      </c>
      <c r="R54" s="40">
        <f t="shared" si="6"/>
        <v>1.4999999999999999E-2</v>
      </c>
      <c r="S54">
        <f t="shared" si="7"/>
        <v>9.1000000000000011E-2</v>
      </c>
      <c r="T54" s="40">
        <f t="shared" si="8"/>
        <v>-2.0000000000000018E-3</v>
      </c>
      <c r="U54">
        <f t="shared" si="9"/>
        <v>1.0000000000000009E-2</v>
      </c>
      <c r="V54">
        <f t="shared" si="10"/>
        <v>-1.0000000000000009E-3</v>
      </c>
      <c r="W54">
        <f t="shared" si="11"/>
        <v>2.2000000000000006E-2</v>
      </c>
      <c r="X54">
        <f t="shared" si="12"/>
        <v>6.5000000000000016E-2</v>
      </c>
      <c r="Y54">
        <f t="shared" si="13"/>
        <v>3.7000000000000005E-2</v>
      </c>
      <c r="Z54">
        <f t="shared" si="14"/>
        <v>8.0000000000000071E-3</v>
      </c>
      <c r="AA54">
        <f t="shared" si="15"/>
        <v>-4.0000000000000036E-3</v>
      </c>
      <c r="AC54" s="55"/>
      <c r="AD54" s="40">
        <f t="shared" si="16"/>
        <v>1.100000000000001E-2</v>
      </c>
      <c r="AE54" s="39">
        <f t="shared" si="17"/>
        <v>6.9999999999999993E-2</v>
      </c>
      <c r="AF54" s="40">
        <f t="shared" si="18"/>
        <v>1.3999999999999999E-2</v>
      </c>
      <c r="AG54">
        <f t="shared" si="19"/>
        <v>7.1999999999999995E-2</v>
      </c>
      <c r="AH54" s="40">
        <f t="shared" si="20"/>
        <v>0.05</v>
      </c>
      <c r="AI54">
        <f t="shared" si="21"/>
        <v>6.0000000000000053E-3</v>
      </c>
      <c r="AJ54">
        <f t="shared" si="22"/>
        <v>-1.0000000000000009E-3</v>
      </c>
      <c r="AK54">
        <f t="shared" si="23"/>
        <v>2.5000000000000008E-2</v>
      </c>
      <c r="AL54">
        <f t="shared" si="24"/>
        <v>3.1000000000000014E-2</v>
      </c>
      <c r="AM54">
        <f t="shared" si="25"/>
        <v>6.9999999999999785E-3</v>
      </c>
      <c r="AN54">
        <f t="shared" si="26"/>
        <v>-5.9999999999999915E-3</v>
      </c>
      <c r="AO54">
        <f t="shared" si="27"/>
        <v>5.9999999999999915E-3</v>
      </c>
    </row>
    <row r="55" spans="1:41">
      <c r="A55" s="54" t="s">
        <v>7</v>
      </c>
      <c r="B55">
        <f t="shared" si="3"/>
        <v>0.33699999999999997</v>
      </c>
      <c r="C55">
        <f t="shared" si="29"/>
        <v>-1.3999999999999999E-2</v>
      </c>
      <c r="D55" s="40">
        <f t="shared" si="29"/>
        <v>3.1999999999999987E-2</v>
      </c>
      <c r="E55">
        <f t="shared" si="29"/>
        <v>0.16399999999999998</v>
      </c>
      <c r="F55">
        <f t="shared" si="29"/>
        <v>2.700000000000001E-2</v>
      </c>
      <c r="G55">
        <f t="shared" si="29"/>
        <v>4.7000000000000014E-2</v>
      </c>
      <c r="H55">
        <f t="shared" si="29"/>
        <v>3.3000000000000002E-2</v>
      </c>
      <c r="I55">
        <f t="shared" si="29"/>
        <v>3.5000000000000003E-2</v>
      </c>
      <c r="J55">
        <f t="shared" si="29"/>
        <v>0.84100000000000008</v>
      </c>
      <c r="K55">
        <f t="shared" si="29"/>
        <v>2.7999999999999983E-2</v>
      </c>
      <c r="L55">
        <f t="shared" si="29"/>
        <v>5.4999999999999993E-2</v>
      </c>
      <c r="M55">
        <f t="shared" si="29"/>
        <v>2.8999999999999998E-2</v>
      </c>
      <c r="O55" s="54" t="s">
        <v>7</v>
      </c>
      <c r="P55" s="40">
        <f t="shared" si="4"/>
        <v>9.4999999999999973E-2</v>
      </c>
      <c r="Q55">
        <f t="shared" si="5"/>
        <v>1.0000000000000009E-3</v>
      </c>
      <c r="R55">
        <f t="shared" si="6"/>
        <v>1.3</v>
      </c>
      <c r="S55" s="39">
        <f t="shared" si="7"/>
        <v>2.0999999999999991E-2</v>
      </c>
      <c r="T55">
        <f t="shared" si="8"/>
        <v>2.5000000000000008E-2</v>
      </c>
      <c r="U55">
        <f t="shared" si="9"/>
        <v>2.3999999999999994E-2</v>
      </c>
      <c r="V55">
        <f t="shared" si="10"/>
        <v>9.2999999999999999E-2</v>
      </c>
      <c r="W55">
        <f t="shared" si="11"/>
        <v>0.03</v>
      </c>
      <c r="X55">
        <f t="shared" si="12"/>
        <v>0.81500000000000006</v>
      </c>
      <c r="Y55">
        <f t="shared" si="13"/>
        <v>8.7999999999999981E-2</v>
      </c>
      <c r="Z55">
        <f t="shared" si="14"/>
        <v>6.3E-2</v>
      </c>
      <c r="AA55">
        <f t="shared" si="15"/>
        <v>2.8999999999999998E-2</v>
      </c>
      <c r="AC55" s="54" t="s">
        <v>7</v>
      </c>
      <c r="AD55" s="40">
        <f t="shared" si="16"/>
        <v>9.2999999999999972E-2</v>
      </c>
      <c r="AE55">
        <f t="shared" si="17"/>
        <v>-4.0000000000000036E-3</v>
      </c>
      <c r="AF55">
        <f t="shared" si="18"/>
        <v>1.502</v>
      </c>
      <c r="AG55">
        <f t="shared" si="19"/>
        <v>0.13500000000000001</v>
      </c>
      <c r="AH55">
        <f t="shared" si="20"/>
        <v>2.3000000000000007E-2</v>
      </c>
      <c r="AI55">
        <f t="shared" si="21"/>
        <v>2.0000000000000018E-2</v>
      </c>
      <c r="AJ55">
        <f t="shared" si="22"/>
        <v>2.3999999999999994E-2</v>
      </c>
      <c r="AK55">
        <f t="shared" si="23"/>
        <v>8.7999999999999995E-2</v>
      </c>
      <c r="AL55">
        <f t="shared" si="24"/>
        <v>0.86399999999999999</v>
      </c>
      <c r="AM55">
        <f t="shared" si="25"/>
        <v>0.08</v>
      </c>
      <c r="AN55">
        <f t="shared" si="26"/>
        <v>4.8000000000000015E-2</v>
      </c>
      <c r="AO55">
        <f t="shared" si="27"/>
        <v>2.5999999999999995E-2</v>
      </c>
    </row>
    <row r="56" spans="1:41">
      <c r="A56" s="55"/>
      <c r="B56" s="40">
        <f t="shared" si="3"/>
        <v>4.9999999999999989E-2</v>
      </c>
      <c r="C56">
        <f t="shared" ref="C56:M56" si="30">C18-C37</f>
        <v>-2.3000000000000007E-2</v>
      </c>
      <c r="D56" s="40">
        <f t="shared" si="30"/>
        <v>1.3000000000000012E-2</v>
      </c>
      <c r="E56" s="39">
        <f t="shared" si="30"/>
        <v>4.4000000000000011E-2</v>
      </c>
      <c r="F56">
        <f t="shared" si="30"/>
        <v>1.0000000000000009E-2</v>
      </c>
      <c r="G56">
        <f t="shared" si="30"/>
        <v>1.1999999999999997E-2</v>
      </c>
      <c r="H56">
        <f t="shared" si="30"/>
        <v>1.4999999999999999E-2</v>
      </c>
      <c r="I56">
        <f t="shared" si="30"/>
        <v>1.4999999999999999E-2</v>
      </c>
      <c r="J56">
        <f t="shared" si="30"/>
        <v>0.29800000000000004</v>
      </c>
      <c r="K56">
        <f t="shared" si="30"/>
        <v>1.100000000000001E-2</v>
      </c>
      <c r="L56">
        <f t="shared" si="30"/>
        <v>7.0000000000000062E-3</v>
      </c>
      <c r="M56">
        <f t="shared" si="30"/>
        <v>9.999999999999995E-3</v>
      </c>
      <c r="O56" s="55"/>
      <c r="P56" s="40">
        <f t="shared" si="4"/>
        <v>-7.9999999999999793E-3</v>
      </c>
      <c r="Q56">
        <f t="shared" si="5"/>
        <v>-1.3000000000000012E-2</v>
      </c>
      <c r="R56" s="40">
        <f t="shared" si="6"/>
        <v>0.36299999999999999</v>
      </c>
      <c r="S56" s="39">
        <f t="shared" si="7"/>
        <v>6.0000000000000053E-3</v>
      </c>
      <c r="T56">
        <f t="shared" si="8"/>
        <v>9.000000000000008E-3</v>
      </c>
      <c r="U56">
        <f t="shared" si="9"/>
        <v>7.0000000000000062E-3</v>
      </c>
      <c r="V56">
        <f t="shared" si="10"/>
        <v>2.9000000000000012E-2</v>
      </c>
      <c r="W56">
        <f t="shared" si="11"/>
        <v>1.0999999999999996E-2</v>
      </c>
      <c r="X56">
        <f t="shared" si="12"/>
        <v>0.26500000000000001</v>
      </c>
      <c r="Y56">
        <f t="shared" si="13"/>
        <v>3.2000000000000001E-2</v>
      </c>
      <c r="Z56">
        <f t="shared" si="14"/>
        <v>1.6E-2</v>
      </c>
      <c r="AA56">
        <f t="shared" si="15"/>
        <v>1.0999999999999996E-2</v>
      </c>
      <c r="AC56" s="55"/>
      <c r="AD56" s="40">
        <f t="shared" si="16"/>
        <v>-1.7999999999999988E-2</v>
      </c>
      <c r="AE56">
        <f t="shared" si="17"/>
        <v>-1.7000000000000001E-2</v>
      </c>
      <c r="AF56" s="40">
        <f t="shared" si="18"/>
        <v>0.46900000000000008</v>
      </c>
      <c r="AG56" s="39">
        <f t="shared" si="19"/>
        <v>4.4000000000000011E-2</v>
      </c>
      <c r="AH56">
        <f t="shared" si="20"/>
        <v>7.0000000000000062E-3</v>
      </c>
      <c r="AI56">
        <f t="shared" si="21"/>
        <v>4.0000000000000036E-3</v>
      </c>
      <c r="AJ56">
        <f t="shared" si="22"/>
        <v>7.0000000000000062E-3</v>
      </c>
      <c r="AK56">
        <f t="shared" si="23"/>
        <v>2.8999999999999998E-2</v>
      </c>
      <c r="AL56">
        <f t="shared" si="24"/>
        <v>0.30400000000000005</v>
      </c>
      <c r="AM56">
        <f t="shared" si="25"/>
        <v>3.8000000000000006E-2</v>
      </c>
      <c r="AN56">
        <f t="shared" si="26"/>
        <v>6.0000000000000053E-3</v>
      </c>
      <c r="AO56">
        <f t="shared" si="27"/>
        <v>1.0999999999999996E-2</v>
      </c>
    </row>
    <row r="58" spans="1:41">
      <c r="A58" t="s">
        <v>21</v>
      </c>
      <c r="B58" s="38"/>
      <c r="C58" t="s">
        <v>22</v>
      </c>
    </row>
    <row r="59" spans="1:41">
      <c r="B59" s="39"/>
      <c r="C59" t="s">
        <v>23</v>
      </c>
    </row>
    <row r="60" spans="1:41">
      <c r="B60" s="40"/>
      <c r="C60" t="s">
        <v>24</v>
      </c>
    </row>
    <row r="61" spans="1:41">
      <c r="B61" s="42"/>
      <c r="C61" t="s">
        <v>25</v>
      </c>
    </row>
    <row r="63" spans="1:41">
      <c r="A63" s="35" t="s">
        <v>146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1:41">
      <c r="B64" s="43">
        <v>1</v>
      </c>
      <c r="C64" s="43">
        <v>2</v>
      </c>
      <c r="D64" s="43">
        <v>3</v>
      </c>
      <c r="E64" s="43">
        <v>4</v>
      </c>
      <c r="F64" s="43">
        <v>5</v>
      </c>
      <c r="G64" s="43">
        <v>6</v>
      </c>
      <c r="H64" s="43">
        <v>7</v>
      </c>
      <c r="I64" s="43">
        <v>8</v>
      </c>
      <c r="J64" s="43">
        <v>9</v>
      </c>
      <c r="K64" s="43">
        <v>10</v>
      </c>
      <c r="L64" s="43">
        <v>11</v>
      </c>
      <c r="M64" s="43">
        <v>12</v>
      </c>
    </row>
    <row r="65" spans="1:21">
      <c r="A65" s="43" t="s">
        <v>0</v>
      </c>
      <c r="B65" s="42"/>
      <c r="C65" s="42"/>
      <c r="D65" s="42"/>
      <c r="E65" s="42"/>
      <c r="F65" s="42"/>
      <c r="G65" s="42"/>
      <c r="H65" s="42"/>
      <c r="I65" s="42"/>
      <c r="J65" s="42"/>
      <c r="K65" s="44"/>
      <c r="L65" s="42"/>
      <c r="M65" s="44">
        <v>0</v>
      </c>
    </row>
    <row r="66" spans="1:21">
      <c r="A66" s="43" t="s">
        <v>1</v>
      </c>
      <c r="B66" s="42"/>
      <c r="C66" s="42"/>
      <c r="D66" s="44"/>
      <c r="E66" s="44"/>
      <c r="F66" s="44"/>
      <c r="G66" s="44"/>
      <c r="H66" s="44"/>
      <c r="I66" s="42"/>
      <c r="J66" s="44"/>
      <c r="K66" s="44"/>
      <c r="L66" s="42"/>
      <c r="M66" s="42"/>
    </row>
    <row r="67" spans="1:21">
      <c r="A67" s="43" t="s">
        <v>2</v>
      </c>
      <c r="B67" s="46"/>
      <c r="C67" s="42"/>
      <c r="D67" s="42"/>
      <c r="E67" s="44"/>
      <c r="F67" s="44"/>
      <c r="G67" s="42"/>
      <c r="H67" s="42"/>
      <c r="I67" s="42"/>
      <c r="J67" s="42"/>
      <c r="K67" s="42"/>
      <c r="L67" s="42"/>
      <c r="M67" s="44"/>
    </row>
    <row r="68" spans="1:21">
      <c r="A68" s="43" t="s">
        <v>3</v>
      </c>
      <c r="B68" s="46"/>
      <c r="C68" s="42"/>
      <c r="D68" s="42"/>
      <c r="E68" s="42"/>
      <c r="F68" s="42"/>
      <c r="G68" s="42"/>
      <c r="H68" s="44"/>
      <c r="I68" s="45">
        <v>0.99539999999999995</v>
      </c>
      <c r="J68" s="42"/>
      <c r="K68" s="42"/>
      <c r="L68" s="42"/>
      <c r="M68" s="42"/>
    </row>
    <row r="69" spans="1:21">
      <c r="A69" s="43" t="s">
        <v>4</v>
      </c>
      <c r="B69" s="42"/>
      <c r="C69" s="42"/>
      <c r="D69" s="42"/>
      <c r="E69" s="44"/>
      <c r="F69" s="42"/>
      <c r="G69" s="42"/>
      <c r="H69" s="42"/>
      <c r="I69" s="46"/>
      <c r="J69" s="44"/>
      <c r="K69" s="42"/>
      <c r="L69" s="42"/>
      <c r="M69" s="42"/>
    </row>
    <row r="70" spans="1:21">
      <c r="A70" s="43" t="s">
        <v>5</v>
      </c>
      <c r="B70" s="42"/>
      <c r="C70" s="42"/>
      <c r="D70" s="42"/>
      <c r="E70" s="42"/>
      <c r="F70" s="46"/>
      <c r="G70" s="42"/>
      <c r="H70" s="42"/>
      <c r="I70" s="42"/>
      <c r="J70" s="44"/>
      <c r="K70" s="42"/>
      <c r="L70" s="42"/>
      <c r="M70" s="42"/>
    </row>
    <row r="71" spans="1:21">
      <c r="A71" s="43" t="s">
        <v>6</v>
      </c>
      <c r="B71" s="42"/>
      <c r="C71" s="46"/>
      <c r="D71" s="42"/>
      <c r="E71" s="44"/>
      <c r="F71" s="42"/>
      <c r="G71" s="42"/>
      <c r="H71" s="42"/>
      <c r="I71" s="42"/>
      <c r="J71" s="45">
        <v>0.65400000000000003</v>
      </c>
      <c r="K71" s="44"/>
      <c r="L71" s="42"/>
      <c r="M71" s="42"/>
    </row>
    <row r="72" spans="1:21">
      <c r="A72" s="43" t="s">
        <v>7</v>
      </c>
      <c r="B72" s="42"/>
      <c r="C72" s="42"/>
      <c r="D72" s="42"/>
      <c r="E72" s="46"/>
      <c r="F72" s="42"/>
      <c r="G72" s="42"/>
      <c r="H72" s="42"/>
      <c r="I72" s="42"/>
      <c r="J72" s="44"/>
      <c r="K72" s="42"/>
      <c r="L72" s="42"/>
      <c r="M72" s="42"/>
    </row>
    <row r="74" spans="1:21">
      <c r="A74" s="47" t="s">
        <v>21</v>
      </c>
      <c r="B74" s="49"/>
      <c r="C74" t="s">
        <v>26</v>
      </c>
    </row>
    <row r="75" spans="1:21">
      <c r="B75" s="33"/>
      <c r="C75" t="s">
        <v>27</v>
      </c>
    </row>
    <row r="76" spans="1:21">
      <c r="B76" s="48"/>
      <c r="C76" t="s">
        <v>28</v>
      </c>
    </row>
    <row r="78" spans="1:21">
      <c r="B78" s="33"/>
      <c r="C78" s="50" t="s">
        <v>29</v>
      </c>
      <c r="D78" s="50" t="s">
        <v>30</v>
      </c>
      <c r="F78" s="51" t="s">
        <v>31</v>
      </c>
      <c r="G78" s="51" t="s">
        <v>32</v>
      </c>
      <c r="H78" s="52"/>
      <c r="I78" s="48"/>
      <c r="J78" s="50" t="s">
        <v>112</v>
      </c>
      <c r="K78" s="50" t="s">
        <v>113</v>
      </c>
      <c r="M78" s="51" t="s">
        <v>114</v>
      </c>
      <c r="N78" s="51" t="s">
        <v>115</v>
      </c>
      <c r="O78" s="52"/>
      <c r="P78" s="35"/>
      <c r="Q78" s="50" t="s">
        <v>136</v>
      </c>
      <c r="R78" s="50" t="s">
        <v>137</v>
      </c>
      <c r="S78" s="51" t="s">
        <v>138</v>
      </c>
      <c r="T78" s="51" t="s">
        <v>139</v>
      </c>
      <c r="U78" s="52" t="s">
        <v>140</v>
      </c>
    </row>
    <row r="79" spans="1:21">
      <c r="C79" s="50" t="s">
        <v>33</v>
      </c>
      <c r="D79" s="50" t="s">
        <v>34</v>
      </c>
      <c r="F79" s="51" t="s">
        <v>35</v>
      </c>
      <c r="G79" s="51" t="s">
        <v>36</v>
      </c>
      <c r="H79" s="52" t="s">
        <v>37</v>
      </c>
      <c r="J79" s="50" t="s">
        <v>116</v>
      </c>
      <c r="K79" s="50" t="s">
        <v>117</v>
      </c>
      <c r="M79" s="51" t="s">
        <v>118</v>
      </c>
      <c r="N79" s="51" t="s">
        <v>119</v>
      </c>
      <c r="O79" s="52"/>
      <c r="Q79" s="50" t="s">
        <v>141</v>
      </c>
      <c r="R79" s="50" t="s">
        <v>142</v>
      </c>
      <c r="S79" s="51" t="s">
        <v>143</v>
      </c>
      <c r="T79" s="51" t="s">
        <v>144</v>
      </c>
      <c r="U79" s="52" t="s">
        <v>145</v>
      </c>
    </row>
    <row r="80" spans="1:21">
      <c r="C80" s="50" t="s">
        <v>38</v>
      </c>
      <c r="D80" s="50" t="s">
        <v>39</v>
      </c>
      <c r="F80" s="51" t="s">
        <v>40</v>
      </c>
      <c r="G80" s="51" t="s">
        <v>41</v>
      </c>
      <c r="H80" s="52"/>
      <c r="J80" s="50" t="s">
        <v>120</v>
      </c>
      <c r="K80" s="50" t="s">
        <v>121</v>
      </c>
      <c r="M80" s="51" t="s">
        <v>122</v>
      </c>
      <c r="N80" s="51" t="s">
        <v>123</v>
      </c>
      <c r="O80" s="52"/>
    </row>
    <row r="81" spans="3:15">
      <c r="C81" s="50" t="s">
        <v>42</v>
      </c>
      <c r="D81" s="50" t="s">
        <v>43</v>
      </c>
      <c r="F81" s="51" t="s">
        <v>44</v>
      </c>
      <c r="G81" s="51" t="s">
        <v>45</v>
      </c>
      <c r="H81" s="52"/>
      <c r="J81" s="50" t="s">
        <v>124</v>
      </c>
      <c r="K81" s="50" t="s">
        <v>125</v>
      </c>
      <c r="M81" s="51" t="s">
        <v>126</v>
      </c>
      <c r="N81" s="51" t="s">
        <v>127</v>
      </c>
      <c r="O81" s="52"/>
    </row>
    <row r="82" spans="3:15">
      <c r="C82" s="50" t="s">
        <v>46</v>
      </c>
      <c r="D82" s="50" t="s">
        <v>47</v>
      </c>
      <c r="F82" s="51" t="s">
        <v>48</v>
      </c>
      <c r="G82" s="51" t="s">
        <v>49</v>
      </c>
      <c r="H82" s="52" t="s">
        <v>50</v>
      </c>
      <c r="J82" s="50" t="s">
        <v>128</v>
      </c>
      <c r="K82" s="50" t="s">
        <v>129</v>
      </c>
      <c r="M82" s="51" t="s">
        <v>130</v>
      </c>
      <c r="N82" s="53"/>
      <c r="O82" s="52"/>
    </row>
    <row r="83" spans="3:15">
      <c r="C83" s="50" t="s">
        <v>51</v>
      </c>
      <c r="D83" s="50" t="s">
        <v>52</v>
      </c>
      <c r="F83" s="51" t="s">
        <v>53</v>
      </c>
      <c r="G83" s="51" t="s">
        <v>54</v>
      </c>
      <c r="H83" s="52" t="s">
        <v>55</v>
      </c>
      <c r="J83" s="50" t="s">
        <v>131</v>
      </c>
      <c r="K83" s="50" t="s">
        <v>132</v>
      </c>
      <c r="M83" s="51" t="s">
        <v>133</v>
      </c>
      <c r="N83" s="51" t="s">
        <v>134</v>
      </c>
      <c r="O83" s="52" t="s">
        <v>135</v>
      </c>
    </row>
    <row r="84" spans="3:15">
      <c r="C84" s="50" t="s">
        <v>56</v>
      </c>
      <c r="D84" s="50" t="s">
        <v>57</v>
      </c>
      <c r="F84" s="51" t="s">
        <v>58</v>
      </c>
      <c r="G84" s="51" t="s">
        <v>59</v>
      </c>
      <c r="H84" s="52" t="s">
        <v>60</v>
      </c>
    </row>
    <row r="85" spans="3:15">
      <c r="C85" s="50" t="s">
        <v>61</v>
      </c>
      <c r="D85" s="50" t="s">
        <v>62</v>
      </c>
      <c r="F85" s="51" t="s">
        <v>63</v>
      </c>
      <c r="G85" s="51" t="s">
        <v>64</v>
      </c>
      <c r="H85" s="52" t="s">
        <v>65</v>
      </c>
    </row>
    <row r="86" spans="3:15">
      <c r="C86" s="50" t="s">
        <v>66</v>
      </c>
      <c r="D86" s="50" t="s">
        <v>67</v>
      </c>
      <c r="F86" s="51" t="s">
        <v>68</v>
      </c>
      <c r="G86" s="51" t="s">
        <v>69</v>
      </c>
      <c r="H86" s="52"/>
    </row>
    <row r="87" spans="3:15">
      <c r="C87" s="50" t="s">
        <v>70</v>
      </c>
      <c r="D87" s="50" t="s">
        <v>71</v>
      </c>
      <c r="F87" s="51" t="s">
        <v>72</v>
      </c>
      <c r="G87" s="51" t="s">
        <v>73</v>
      </c>
      <c r="H87" s="52"/>
    </row>
    <row r="88" spans="3:15">
      <c r="C88" s="50" t="s">
        <v>74</v>
      </c>
      <c r="D88" s="50" t="s">
        <v>75</v>
      </c>
      <c r="F88" s="51" t="s">
        <v>76</v>
      </c>
      <c r="G88" s="51" t="s">
        <v>77</v>
      </c>
      <c r="H88" s="52"/>
    </row>
    <row r="89" spans="3:15">
      <c r="C89" s="50" t="s">
        <v>78</v>
      </c>
      <c r="D89" s="50" t="s">
        <v>79</v>
      </c>
      <c r="F89" s="51" t="s">
        <v>80</v>
      </c>
      <c r="G89" s="51" t="s">
        <v>81</v>
      </c>
      <c r="H89" s="52"/>
    </row>
    <row r="90" spans="3:15">
      <c r="C90" s="50" t="s">
        <v>82</v>
      </c>
      <c r="D90" s="50" t="s">
        <v>83</v>
      </c>
      <c r="F90" s="51" t="s">
        <v>84</v>
      </c>
      <c r="G90" s="51" t="s">
        <v>85</v>
      </c>
      <c r="H90" s="52"/>
    </row>
    <row r="91" spans="3:15">
      <c r="C91" s="50" t="s">
        <v>86</v>
      </c>
      <c r="D91" s="50" t="s">
        <v>87</v>
      </c>
      <c r="F91" s="51" t="s">
        <v>88</v>
      </c>
      <c r="G91" s="51" t="s">
        <v>89</v>
      </c>
      <c r="H91" s="52"/>
    </row>
    <row r="92" spans="3:15">
      <c r="C92" s="50" t="s">
        <v>90</v>
      </c>
      <c r="D92" s="50" t="s">
        <v>91</v>
      </c>
      <c r="F92" s="51" t="s">
        <v>92</v>
      </c>
      <c r="G92" s="51" t="s">
        <v>93</v>
      </c>
      <c r="H92" s="52"/>
    </row>
    <row r="93" spans="3:15">
      <c r="C93" s="50" t="s">
        <v>94</v>
      </c>
      <c r="D93" s="50" t="s">
        <v>95</v>
      </c>
      <c r="F93" s="51" t="s">
        <v>96</v>
      </c>
      <c r="G93" s="53"/>
      <c r="H93" s="52"/>
    </row>
    <row r="94" spans="3:15">
      <c r="C94" s="50" t="s">
        <v>97</v>
      </c>
      <c r="D94" s="50" t="s">
        <v>98</v>
      </c>
      <c r="F94" s="51" t="s">
        <v>99</v>
      </c>
      <c r="G94" s="51" t="s">
        <v>100</v>
      </c>
      <c r="H94" s="52" t="s">
        <v>101</v>
      </c>
    </row>
    <row r="95" spans="3:15">
      <c r="C95" s="50" t="s">
        <v>102</v>
      </c>
      <c r="D95" s="50" t="s">
        <v>103</v>
      </c>
      <c r="F95" s="51" t="s">
        <v>104</v>
      </c>
      <c r="G95" s="51" t="s">
        <v>105</v>
      </c>
      <c r="H95" s="52" t="s">
        <v>106</v>
      </c>
    </row>
    <row r="96" spans="3:15">
      <c r="C96" s="50" t="s">
        <v>107</v>
      </c>
      <c r="D96" s="50" t="s">
        <v>108</v>
      </c>
      <c r="F96" s="51" t="s">
        <v>109</v>
      </c>
      <c r="G96" s="51" t="s">
        <v>110</v>
      </c>
      <c r="H96" s="52" t="s">
        <v>111</v>
      </c>
    </row>
  </sheetData>
  <mergeCells count="64">
    <mergeCell ref="O51:O52"/>
    <mergeCell ref="O53:O54"/>
    <mergeCell ref="O55:O56"/>
    <mergeCell ref="AC41:AC42"/>
    <mergeCell ref="AC43:AC44"/>
    <mergeCell ref="AC45:AC46"/>
    <mergeCell ref="AC47:AC48"/>
    <mergeCell ref="AC49:AC50"/>
    <mergeCell ref="AC51:AC52"/>
    <mergeCell ref="AC53:AC54"/>
    <mergeCell ref="AC55:AC56"/>
    <mergeCell ref="O41:O42"/>
    <mergeCell ref="O43:O44"/>
    <mergeCell ref="O45:O46"/>
    <mergeCell ref="O47:O48"/>
    <mergeCell ref="O49:O50"/>
    <mergeCell ref="A49:A50"/>
    <mergeCell ref="A51:A52"/>
    <mergeCell ref="A53:A54"/>
    <mergeCell ref="A55:A56"/>
    <mergeCell ref="A34:A35"/>
    <mergeCell ref="A36:A37"/>
    <mergeCell ref="A41:A42"/>
    <mergeCell ref="A43:A44"/>
    <mergeCell ref="A45:A46"/>
    <mergeCell ref="A47:A48"/>
    <mergeCell ref="A32:A33"/>
    <mergeCell ref="A15:A16"/>
    <mergeCell ref="O15:O16"/>
    <mergeCell ref="AC15:AC16"/>
    <mergeCell ref="AQ15:AQ16"/>
    <mergeCell ref="A17:A18"/>
    <mergeCell ref="O17:O18"/>
    <mergeCell ref="AC17:AC18"/>
    <mergeCell ref="AQ17:AQ18"/>
    <mergeCell ref="A22:A23"/>
    <mergeCell ref="A24:A25"/>
    <mergeCell ref="A26:A27"/>
    <mergeCell ref="A28:A29"/>
    <mergeCell ref="A30:A31"/>
    <mergeCell ref="A11:A12"/>
    <mergeCell ref="O11:O12"/>
    <mergeCell ref="AC11:AC12"/>
    <mergeCell ref="AQ11:AQ12"/>
    <mergeCell ref="A13:A14"/>
    <mergeCell ref="O13:O14"/>
    <mergeCell ref="AC13:AC14"/>
    <mergeCell ref="AQ13:AQ14"/>
    <mergeCell ref="A7:A8"/>
    <mergeCell ref="O7:O8"/>
    <mergeCell ref="AC7:AC8"/>
    <mergeCell ref="AQ7:AQ8"/>
    <mergeCell ref="A9:A10"/>
    <mergeCell ref="O9:O10"/>
    <mergeCell ref="AC9:AC10"/>
    <mergeCell ref="AQ9:AQ10"/>
    <mergeCell ref="A3:A4"/>
    <mergeCell ref="O3:O4"/>
    <mergeCell ref="AC3:AC4"/>
    <mergeCell ref="AQ3:AQ4"/>
    <mergeCell ref="A5:A6"/>
    <mergeCell ref="O5:O6"/>
    <mergeCell ref="AC5:AC6"/>
    <mergeCell ref="AQ5:AQ6"/>
  </mergeCells>
  <conditionalFormatting sqref="B41:N41 P41:AB41 AD41:AO41">
    <cfRule type="cellIs" dxfId="7" priority="8" operator="greaterThan">
      <formula>0.1</formula>
    </cfRule>
  </conditionalFormatting>
  <conditionalFormatting sqref="B43:N43 P43:AB43 AD43:AO43">
    <cfRule type="cellIs" dxfId="6" priority="7" operator="greaterThan">
      <formula>0.1</formula>
    </cfRule>
  </conditionalFormatting>
  <conditionalFormatting sqref="B45:N45 P45:AB45 AD45:AO45">
    <cfRule type="cellIs" dxfId="5" priority="6" operator="greaterThan">
      <formula>0.1</formula>
    </cfRule>
  </conditionalFormatting>
  <conditionalFormatting sqref="B47:N47 P47:AB47 AD47:AO47">
    <cfRule type="cellIs" dxfId="4" priority="5" operator="greaterThan">
      <formula>0.1</formula>
    </cfRule>
  </conditionalFormatting>
  <conditionalFormatting sqref="B49:N49 P49:AB49 AD49:AO49">
    <cfRule type="cellIs" dxfId="3" priority="4" operator="greaterThan">
      <formula>0.1</formula>
    </cfRule>
  </conditionalFormatting>
  <conditionalFormatting sqref="B51:N51 P51:AB51 AD51:AO51">
    <cfRule type="cellIs" dxfId="2" priority="3" operator="greaterThan">
      <formula>0.1</formula>
    </cfRule>
  </conditionalFormatting>
  <conditionalFormatting sqref="B53:N53 P53:AB53 AD53:AO53">
    <cfRule type="cellIs" dxfId="1" priority="2" operator="greaterThan">
      <formula>0.1</formula>
    </cfRule>
  </conditionalFormatting>
  <conditionalFormatting sqref="B55:N55 P55:AB55 AD55:AO55"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Rohdaten</vt:lpstr>
      <vt:lpstr>Steigung</vt:lpstr>
      <vt:lpstr>Modell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2017-11-02T14:47:09Z</dcterms:modified>
</cp:coreProperties>
</file>