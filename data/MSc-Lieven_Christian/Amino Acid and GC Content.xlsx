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18990" windowHeight="7635"/>
  </bookViews>
  <sheets>
    <sheet name="Proteome Amino Acid Composition" sheetId="1" r:id="rId1"/>
    <sheet name="Genome DNA Composition" sheetId="2" r:id="rId2"/>
    <sheet name="Genome RNA Composition" sheetId="3" r:id="rId3"/>
    <sheet name="Lipid Composition" sheetId="4" r:id="rId4"/>
    <sheet name="Cell Wall Composition" sheetId="5" r:id="rId5"/>
    <sheet name="Elemental Equation" sheetId="6" r:id="rId6"/>
  </sheets>
  <calcPr calcId="124519"/>
</workbook>
</file>

<file path=xl/calcChain.xml><?xml version="1.0" encoding="utf-8"?>
<calcChain xmlns="http://schemas.openxmlformats.org/spreadsheetml/2006/main">
  <c r="O5" i="1"/>
  <c r="O2"/>
  <c r="O3"/>
  <c r="P5"/>
  <c r="P3"/>
  <c r="J7" i="4"/>
  <c r="J44"/>
  <c r="I7"/>
  <c r="J10"/>
  <c r="L44"/>
  <c r="J35"/>
  <c r="L35" s="1"/>
  <c r="J36"/>
  <c r="J37"/>
  <c r="J38"/>
  <c r="J39"/>
  <c r="J40"/>
  <c r="J41"/>
  <c r="J42"/>
  <c r="J34"/>
  <c r="L34" s="1"/>
  <c r="J15" i="5"/>
  <c r="J14"/>
  <c r="J16"/>
  <c r="J17"/>
  <c r="J18"/>
  <c r="J19"/>
  <c r="J20"/>
  <c r="L15"/>
  <c r="H10"/>
  <c r="I8" s="1"/>
  <c r="K8" s="1"/>
  <c r="I22"/>
  <c r="H8"/>
  <c r="I17"/>
  <c r="I18"/>
  <c r="I16"/>
  <c r="J4" i="4"/>
  <c r="I5" i="1"/>
  <c r="J5" i="4"/>
  <c r="K5"/>
  <c r="E8" i="5"/>
  <c r="L16"/>
  <c r="I15"/>
  <c r="I19"/>
  <c r="I20"/>
  <c r="I14"/>
  <c r="H14"/>
  <c r="H15"/>
  <c r="G8"/>
  <c r="K10" i="4"/>
  <c r="K4"/>
  <c r="K6"/>
  <c r="K7"/>
  <c r="K3"/>
  <c r="J3"/>
  <c r="L37"/>
  <c r="L36"/>
  <c r="I44"/>
  <c r="I35"/>
  <c r="I36"/>
  <c r="I37"/>
  <c r="I38"/>
  <c r="I39"/>
  <c r="I40"/>
  <c r="I41"/>
  <c r="I42"/>
  <c r="I34"/>
  <c r="H34"/>
  <c r="I87"/>
  <c r="I85"/>
  <c r="I81"/>
  <c r="I78"/>
  <c r="I75"/>
  <c r="I68"/>
  <c r="I70"/>
  <c r="I64"/>
  <c r="I63"/>
  <c r="D1"/>
  <c r="G5"/>
  <c r="E5"/>
  <c r="F10"/>
  <c r="G7" s="1"/>
  <c r="H27"/>
  <c r="J4" i="3"/>
  <c r="J5"/>
  <c r="J6"/>
  <c r="J3"/>
  <c r="I3"/>
  <c r="G3" i="2"/>
  <c r="J3"/>
  <c r="J4"/>
  <c r="J5"/>
  <c r="J6"/>
  <c r="I3"/>
  <c r="G23" i="1"/>
  <c r="N8" s="1"/>
  <c r="P8" s="1"/>
  <c r="M8"/>
  <c r="K9" i="6"/>
  <c r="J9"/>
  <c r="I9"/>
  <c r="H9"/>
  <c r="G9"/>
  <c r="F9"/>
  <c r="E24"/>
  <c r="S18"/>
  <c r="G6" i="3"/>
  <c r="G5"/>
  <c r="G4"/>
  <c r="G3"/>
  <c r="I6" i="2"/>
  <c r="I5"/>
  <c r="I4"/>
  <c r="G48" i="4"/>
  <c r="G50"/>
  <c r="G51"/>
  <c r="G52"/>
  <c r="G53"/>
  <c r="H59"/>
  <c r="F3" i="1"/>
  <c r="D3"/>
  <c r="I25" s="1"/>
  <c r="H3" i="3"/>
  <c r="E3" i="4"/>
  <c r="E4"/>
  <c r="E6"/>
  <c r="H22" i="5"/>
  <c r="N5" i="2"/>
  <c r="E7" i="6"/>
  <c r="F43" i="4"/>
  <c r="G35" s="1"/>
  <c r="F21" i="5"/>
  <c r="N9" i="6"/>
  <c r="K42"/>
  <c r="E44"/>
  <c r="F44"/>
  <c r="F45" s="1"/>
  <c r="G44"/>
  <c r="G45" s="1"/>
  <c r="H44"/>
  <c r="I44"/>
  <c r="J44"/>
  <c r="J45" s="1"/>
  <c r="E45"/>
  <c r="H45"/>
  <c r="I45"/>
  <c r="L59" i="5"/>
  <c r="K59"/>
  <c r="J59"/>
  <c r="I59"/>
  <c r="H59"/>
  <c r="I58"/>
  <c r="H58"/>
  <c r="C31" i="6"/>
  <c r="D31"/>
  <c r="E26" s="1"/>
  <c r="R9"/>
  <c r="Q3" i="1"/>
  <c r="Q5"/>
  <c r="M5" i="3"/>
  <c r="M3"/>
  <c r="N3" i="2"/>
  <c r="D3" i="3"/>
  <c r="L18" i="5" l="1"/>
  <c r="I3"/>
  <c r="K3" s="1"/>
  <c r="J22"/>
  <c r="L17"/>
  <c r="H44" i="4"/>
  <c r="G37"/>
  <c r="G34"/>
  <c r="G38"/>
  <c r="H38" s="1"/>
  <c r="G36"/>
  <c r="G4"/>
  <c r="H4" s="1"/>
  <c r="G3"/>
  <c r="H3" s="1"/>
  <c r="G3" i="1"/>
  <c r="I7" i="2"/>
  <c r="E28" i="6"/>
  <c r="E27"/>
  <c r="E25"/>
  <c r="H7" i="3"/>
  <c r="V18" i="6"/>
  <c r="W18"/>
  <c r="X18"/>
  <c r="Y18"/>
  <c r="Z18"/>
  <c r="U18"/>
  <c r="O18"/>
  <c r="P18"/>
  <c r="Q18"/>
  <c r="R18"/>
  <c r="N18"/>
  <c r="Y9"/>
  <c r="X9"/>
  <c r="W9"/>
  <c r="V9"/>
  <c r="U9"/>
  <c r="Z9"/>
  <c r="S9"/>
  <c r="O9"/>
  <c r="P9"/>
  <c r="Q9"/>
  <c r="I4" i="3"/>
  <c r="I5"/>
  <c r="I6"/>
  <c r="E29" i="6"/>
  <c r="E30"/>
  <c r="I7" i="3" l="1"/>
  <c r="D9" i="6"/>
  <c r="J58" i="5"/>
  <c r="K58"/>
  <c r="L58"/>
  <c r="L52"/>
  <c r="K52"/>
  <c r="I52"/>
  <c r="J52"/>
  <c r="H52"/>
  <c r="J38"/>
  <c r="I38"/>
  <c r="K38"/>
  <c r="H38"/>
  <c r="K49"/>
  <c r="I49"/>
  <c r="J49"/>
  <c r="L49"/>
  <c r="H49"/>
  <c r="J37"/>
  <c r="J36"/>
  <c r="J35"/>
  <c r="J34"/>
  <c r="K34"/>
  <c r="L34"/>
  <c r="K35"/>
  <c r="L35"/>
  <c r="L38" s="1"/>
  <c r="K36"/>
  <c r="L36"/>
  <c r="K37"/>
  <c r="L37"/>
  <c r="I35"/>
  <c r="I36"/>
  <c r="I37"/>
  <c r="I34"/>
  <c r="H37"/>
  <c r="H35"/>
  <c r="H36"/>
  <c r="H34"/>
  <c r="D38"/>
  <c r="E38"/>
  <c r="F38"/>
  <c r="G38"/>
  <c r="C38"/>
  <c r="E52"/>
  <c r="J78" i="4"/>
  <c r="K78"/>
  <c r="L78"/>
  <c r="M78"/>
  <c r="J81"/>
  <c r="K81"/>
  <c r="L81"/>
  <c r="M81"/>
  <c r="M85"/>
  <c r="J85"/>
  <c r="K85"/>
  <c r="L85"/>
  <c r="H85"/>
  <c r="H87" s="1"/>
  <c r="G85"/>
  <c r="F85"/>
  <c r="E85"/>
  <c r="D85"/>
  <c r="E81"/>
  <c r="E87" s="1"/>
  <c r="F81"/>
  <c r="G81"/>
  <c r="H81"/>
  <c r="D81"/>
  <c r="E84"/>
  <c r="F84"/>
  <c r="G84"/>
  <c r="H84"/>
  <c r="D84"/>
  <c r="G80"/>
  <c r="F80"/>
  <c r="E80"/>
  <c r="D80"/>
  <c r="H80"/>
  <c r="L75"/>
  <c r="K75"/>
  <c r="J75"/>
  <c r="M75"/>
  <c r="J74"/>
  <c r="J73"/>
  <c r="J72"/>
  <c r="J71"/>
  <c r="J70"/>
  <c r="K70"/>
  <c r="L70"/>
  <c r="M70"/>
  <c r="K71"/>
  <c r="L71"/>
  <c r="M71"/>
  <c r="K72"/>
  <c r="L72"/>
  <c r="M72"/>
  <c r="K73"/>
  <c r="L73"/>
  <c r="M73"/>
  <c r="K74"/>
  <c r="L74"/>
  <c r="M74"/>
  <c r="I74"/>
  <c r="I73"/>
  <c r="I72"/>
  <c r="I71"/>
  <c r="H75"/>
  <c r="G75"/>
  <c r="F75"/>
  <c r="E75"/>
  <c r="D75"/>
  <c r="G68"/>
  <c r="F68"/>
  <c r="E68"/>
  <c r="G87"/>
  <c r="H68"/>
  <c r="D68"/>
  <c r="M67"/>
  <c r="L67"/>
  <c r="M66"/>
  <c r="L66"/>
  <c r="M65"/>
  <c r="L65"/>
  <c r="G14" i="3"/>
  <c r="G13"/>
  <c r="G12"/>
  <c r="G11"/>
  <c r="G10"/>
  <c r="H13"/>
  <c r="H12"/>
  <c r="H11"/>
  <c r="H10"/>
  <c r="I13"/>
  <c r="I12"/>
  <c r="I11"/>
  <c r="I10"/>
  <c r="J13"/>
  <c r="J12"/>
  <c r="J11"/>
  <c r="J10"/>
  <c r="K13"/>
  <c r="K12"/>
  <c r="K11"/>
  <c r="K10"/>
  <c r="H14"/>
  <c r="B14"/>
  <c r="C14"/>
  <c r="D14"/>
  <c r="E14"/>
  <c r="F14"/>
  <c r="L18" i="2"/>
  <c r="I18"/>
  <c r="J18"/>
  <c r="K18"/>
  <c r="K17"/>
  <c r="K16"/>
  <c r="K15"/>
  <c r="K14"/>
  <c r="L17"/>
  <c r="L16"/>
  <c r="L15"/>
  <c r="L14"/>
  <c r="J17"/>
  <c r="J16"/>
  <c r="J15"/>
  <c r="J14"/>
  <c r="H17"/>
  <c r="H16"/>
  <c r="H15"/>
  <c r="H14"/>
  <c r="I14"/>
  <c r="I15"/>
  <c r="I16"/>
  <c r="I17"/>
  <c r="E17"/>
  <c r="E15"/>
  <c r="E16"/>
  <c r="E14"/>
  <c r="G18"/>
  <c r="F18"/>
  <c r="E18"/>
  <c r="D18"/>
  <c r="C18"/>
  <c r="H18"/>
  <c r="H19" s="1"/>
  <c r="C6" i="4"/>
  <c r="D45" i="1"/>
  <c r="H7" i="5"/>
  <c r="H3"/>
  <c r="D1"/>
  <c r="G7"/>
  <c r="G3"/>
  <c r="H18"/>
  <c r="G17"/>
  <c r="H17" s="1"/>
  <c r="G18"/>
  <c r="G16"/>
  <c r="H16" s="1"/>
  <c r="G15"/>
  <c r="E20"/>
  <c r="E19"/>
  <c r="E18"/>
  <c r="E17"/>
  <c r="E16"/>
  <c r="E15"/>
  <c r="E14"/>
  <c r="D15"/>
  <c r="D16"/>
  <c r="D17"/>
  <c r="D18"/>
  <c r="D19"/>
  <c r="D20"/>
  <c r="D14"/>
  <c r="C21"/>
  <c r="G6"/>
  <c r="D7"/>
  <c r="F10"/>
  <c r="D4" i="4"/>
  <c r="C26"/>
  <c r="D21" s="1"/>
  <c r="F26"/>
  <c r="G49"/>
  <c r="H49" s="1"/>
  <c r="H50"/>
  <c r="H53"/>
  <c r="H57"/>
  <c r="H48"/>
  <c r="D56"/>
  <c r="D55"/>
  <c r="D54"/>
  <c r="D53"/>
  <c r="D52"/>
  <c r="D51"/>
  <c r="D50"/>
  <c r="D49"/>
  <c r="D48"/>
  <c r="D57"/>
  <c r="F58"/>
  <c r="C58"/>
  <c r="H56"/>
  <c r="H55"/>
  <c r="H54"/>
  <c r="H52"/>
  <c r="H51"/>
  <c r="H16"/>
  <c r="D18"/>
  <c r="G24"/>
  <c r="H24" s="1"/>
  <c r="G19"/>
  <c r="H19" s="1"/>
  <c r="D22"/>
  <c r="G23"/>
  <c r="H23" s="1"/>
  <c r="G22"/>
  <c r="H22" s="1"/>
  <c r="G21"/>
  <c r="H21" s="1"/>
  <c r="G20"/>
  <c r="H20" s="1"/>
  <c r="G18"/>
  <c r="H18" s="1"/>
  <c r="G17"/>
  <c r="H17" s="1"/>
  <c r="H35"/>
  <c r="H36"/>
  <c r="H37"/>
  <c r="G41"/>
  <c r="H41" s="1"/>
  <c r="C43"/>
  <c r="G7" i="3"/>
  <c r="H3" i="2"/>
  <c r="G7"/>
  <c r="F6" i="3"/>
  <c r="D6"/>
  <c r="C6"/>
  <c r="F5"/>
  <c r="C5"/>
  <c r="F4"/>
  <c r="C4"/>
  <c r="F3"/>
  <c r="C3"/>
  <c r="D1"/>
  <c r="G6" i="2"/>
  <c r="D4"/>
  <c r="G4" s="1"/>
  <c r="D5"/>
  <c r="G5" s="1"/>
  <c r="D6"/>
  <c r="D3"/>
  <c r="D1"/>
  <c r="C4"/>
  <c r="C3"/>
  <c r="C6"/>
  <c r="C5"/>
  <c r="F6"/>
  <c r="F4"/>
  <c r="F5"/>
  <c r="F3"/>
  <c r="I26" i="1"/>
  <c r="K26"/>
  <c r="L26"/>
  <c r="M26"/>
  <c r="I28"/>
  <c r="M28"/>
  <c r="I29"/>
  <c r="L29"/>
  <c r="M29"/>
  <c r="I30"/>
  <c r="K30"/>
  <c r="L30"/>
  <c r="M30"/>
  <c r="I32"/>
  <c r="M32"/>
  <c r="I33"/>
  <c r="L33"/>
  <c r="M33"/>
  <c r="I34"/>
  <c r="K34"/>
  <c r="L34"/>
  <c r="M34"/>
  <c r="I36"/>
  <c r="M36"/>
  <c r="I37"/>
  <c r="L37"/>
  <c r="M37"/>
  <c r="I38"/>
  <c r="K38"/>
  <c r="L38"/>
  <c r="M38"/>
  <c r="J40"/>
  <c r="I41"/>
  <c r="J41"/>
  <c r="M41"/>
  <c r="I42"/>
  <c r="J42"/>
  <c r="L42"/>
  <c r="M42"/>
  <c r="K44"/>
  <c r="J25"/>
  <c r="K25"/>
  <c r="L25"/>
  <c r="M25"/>
  <c r="E23"/>
  <c r="H45"/>
  <c r="G45"/>
  <c r="F45"/>
  <c r="E45"/>
  <c r="G7"/>
  <c r="G11"/>
  <c r="G15"/>
  <c r="G19"/>
  <c r="F4"/>
  <c r="F5"/>
  <c r="F6"/>
  <c r="F7"/>
  <c r="F8"/>
  <c r="F9"/>
  <c r="F10"/>
  <c r="F11"/>
  <c r="F12"/>
  <c r="G12" s="1"/>
  <c r="F13"/>
  <c r="F14"/>
  <c r="F15"/>
  <c r="F16"/>
  <c r="G16" s="1"/>
  <c r="F17"/>
  <c r="F18"/>
  <c r="F19"/>
  <c r="F20"/>
  <c r="G20" s="1"/>
  <c r="F21"/>
  <c r="F22"/>
  <c r="D4"/>
  <c r="D5"/>
  <c r="G5" s="1"/>
  <c r="D6"/>
  <c r="G6" s="1"/>
  <c r="D7"/>
  <c r="K29" s="1"/>
  <c r="D8"/>
  <c r="D9"/>
  <c r="I31" s="1"/>
  <c r="D10"/>
  <c r="L32" s="1"/>
  <c r="D11"/>
  <c r="K33" s="1"/>
  <c r="D12"/>
  <c r="J34" s="1"/>
  <c r="D13"/>
  <c r="I35" s="1"/>
  <c r="D14"/>
  <c r="L36" s="1"/>
  <c r="D15"/>
  <c r="K37" s="1"/>
  <c r="D16"/>
  <c r="J38" s="1"/>
  <c r="D17"/>
  <c r="I39" s="1"/>
  <c r="D18"/>
  <c r="M40" s="1"/>
  <c r="D19"/>
  <c r="L41" s="1"/>
  <c r="D20"/>
  <c r="K42" s="1"/>
  <c r="D21"/>
  <c r="J43" s="1"/>
  <c r="D22"/>
  <c r="J44" s="1"/>
  <c r="C23"/>
  <c r="D34" i="4" l="1"/>
  <c r="D41"/>
  <c r="D39"/>
  <c r="D36"/>
  <c r="D38"/>
  <c r="D35"/>
  <c r="D42"/>
  <c r="H5"/>
  <c r="D23" i="1"/>
  <c r="K43"/>
  <c r="J39"/>
  <c r="J35"/>
  <c r="J31"/>
  <c r="J27"/>
  <c r="L44"/>
  <c r="L43"/>
  <c r="K40"/>
  <c r="K39"/>
  <c r="J36"/>
  <c r="K35"/>
  <c r="J32"/>
  <c r="K31"/>
  <c r="J28"/>
  <c r="K27"/>
  <c r="I44"/>
  <c r="I40"/>
  <c r="G21"/>
  <c r="G17"/>
  <c r="G13"/>
  <c r="G9"/>
  <c r="M44"/>
  <c r="M43"/>
  <c r="I43"/>
  <c r="I45" s="1"/>
  <c r="I46" s="1"/>
  <c r="K41"/>
  <c r="L40"/>
  <c r="L39"/>
  <c r="J37"/>
  <c r="K36"/>
  <c r="L35"/>
  <c r="J33"/>
  <c r="K32"/>
  <c r="K45" s="1"/>
  <c r="K46" s="1"/>
  <c r="L31"/>
  <c r="J29"/>
  <c r="K28"/>
  <c r="L27"/>
  <c r="L45" s="1"/>
  <c r="L46" s="1"/>
  <c r="G8"/>
  <c r="G4"/>
  <c r="G22"/>
  <c r="G18"/>
  <c r="G14"/>
  <c r="G10"/>
  <c r="M39"/>
  <c r="M35"/>
  <c r="M31"/>
  <c r="J30"/>
  <c r="L28"/>
  <c r="M27"/>
  <c r="I27"/>
  <c r="J26"/>
  <c r="J45" s="1"/>
  <c r="C52" i="5"/>
  <c r="F87" i="4"/>
  <c r="D87"/>
  <c r="K14" i="3"/>
  <c r="J14"/>
  <c r="J15" s="1"/>
  <c r="G15"/>
  <c r="I14"/>
  <c r="L19" i="2"/>
  <c r="K19"/>
  <c r="J19"/>
  <c r="I19"/>
  <c r="G6" i="4"/>
  <c r="H6" s="1"/>
  <c r="H6" i="5"/>
  <c r="G5"/>
  <c r="H5" s="1"/>
  <c r="G4"/>
  <c r="H4" s="1"/>
  <c r="D8"/>
  <c r="D3"/>
  <c r="D4"/>
  <c r="D5"/>
  <c r="D6"/>
  <c r="D7" i="4"/>
  <c r="D3"/>
  <c r="D6"/>
  <c r="D5"/>
  <c r="D23"/>
  <c r="D19"/>
  <c r="D17"/>
  <c r="D24"/>
  <c r="D20"/>
  <c r="D16"/>
  <c r="D25"/>
  <c r="G16"/>
  <c r="D37"/>
  <c r="G39"/>
  <c r="H39" s="1"/>
  <c r="G42"/>
  <c r="H42" s="1"/>
  <c r="G40"/>
  <c r="H40" s="1"/>
  <c r="D40"/>
  <c r="D5" i="3"/>
  <c r="D4"/>
  <c r="H5" i="2"/>
  <c r="H6"/>
  <c r="H4"/>
  <c r="E7" i="4" l="1"/>
  <c r="H7" s="1"/>
  <c r="H10" s="1"/>
  <c r="I5" s="1"/>
  <c r="I65"/>
  <c r="K65"/>
  <c r="J65"/>
  <c r="J67"/>
  <c r="I67"/>
  <c r="K67"/>
  <c r="J63"/>
  <c r="K63"/>
  <c r="K66"/>
  <c r="J66"/>
  <c r="I66"/>
  <c r="K64"/>
  <c r="J64"/>
  <c r="M63"/>
  <c r="L63"/>
  <c r="L68" s="1"/>
  <c r="L87" s="1"/>
  <c r="L64"/>
  <c r="M64"/>
  <c r="J46" i="1"/>
  <c r="M45"/>
  <c r="M46" s="1"/>
  <c r="I55" i="4"/>
  <c r="I54"/>
  <c r="I17"/>
  <c r="I50"/>
  <c r="I19"/>
  <c r="I56"/>
  <c r="I21"/>
  <c r="I52"/>
  <c r="I22"/>
  <c r="I16"/>
  <c r="K15" i="3"/>
  <c r="I15"/>
  <c r="H15"/>
  <c r="H6"/>
  <c r="H4"/>
  <c r="H5"/>
  <c r="I53" i="4" l="1"/>
  <c r="I57"/>
  <c r="I48"/>
  <c r="I51"/>
  <c r="I24"/>
  <c r="I18"/>
  <c r="I23"/>
  <c r="I20"/>
  <c r="J68"/>
  <c r="J87" s="1"/>
  <c r="K68"/>
  <c r="K87" s="1"/>
  <c r="M68"/>
  <c r="M87" s="1"/>
  <c r="I88"/>
  <c r="I3"/>
  <c r="I4"/>
  <c r="I6"/>
  <c r="H3" i="1"/>
  <c r="H6"/>
  <c r="H12"/>
  <c r="H19"/>
  <c r="H16"/>
  <c r="H17"/>
  <c r="H15"/>
  <c r="H11"/>
  <c r="H7"/>
  <c r="H20"/>
  <c r="H21"/>
  <c r="H5"/>
  <c r="H10"/>
  <c r="H8"/>
  <c r="H9"/>
  <c r="H14"/>
  <c r="H18"/>
  <c r="H13"/>
  <c r="H4"/>
  <c r="H22"/>
  <c r="G14" i="5"/>
  <c r="G20"/>
  <c r="H20"/>
  <c r="G19"/>
  <c r="H19" s="1"/>
  <c r="C58"/>
  <c r="D58"/>
  <c r="F58"/>
  <c r="E58"/>
  <c r="G58"/>
  <c r="I10" i="4" l="1"/>
  <c r="M88"/>
  <c r="L88"/>
  <c r="J88"/>
  <c r="K88"/>
  <c r="L38"/>
  <c r="I13" i="1"/>
  <c r="J13"/>
  <c r="I8"/>
  <c r="J8"/>
  <c r="I20"/>
  <c r="J20"/>
  <c r="I17"/>
  <c r="J17"/>
  <c r="I6"/>
  <c r="J6"/>
  <c r="I4"/>
  <c r="J4"/>
  <c r="I9"/>
  <c r="J9"/>
  <c r="I21"/>
  <c r="J21"/>
  <c r="I15"/>
  <c r="J15"/>
  <c r="I12"/>
  <c r="J12"/>
  <c r="I22"/>
  <c r="J22"/>
  <c r="I14"/>
  <c r="J14"/>
  <c r="J5"/>
  <c r="I11"/>
  <c r="J11"/>
  <c r="I19"/>
  <c r="J19"/>
  <c r="I18"/>
  <c r="J18"/>
  <c r="I10"/>
  <c r="J10"/>
  <c r="I7"/>
  <c r="J7"/>
  <c r="I16"/>
  <c r="J16"/>
  <c r="I3"/>
  <c r="J3"/>
  <c r="R5" l="1"/>
  <c r="K23"/>
  <c r="L22" i="5"/>
  <c r="I5" l="1"/>
  <c r="I4"/>
  <c r="I6"/>
  <c r="I7"/>
  <c r="K7" s="1"/>
  <c r="K10" s="1"/>
  <c r="I10" l="1"/>
</calcChain>
</file>

<file path=xl/sharedStrings.xml><?xml version="1.0" encoding="utf-8"?>
<sst xmlns="http://schemas.openxmlformats.org/spreadsheetml/2006/main" count="511" uniqueCount="279">
  <si>
    <t>Total amount of AA:</t>
  </si>
  <si>
    <t>Absolute Amount:</t>
  </si>
  <si>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</si>
  <si>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</si>
  <si>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</si>
  <si>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</si>
  <si>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</si>
  <si>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</si>
  <si>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</si>
  <si>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</si>
  <si>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</si>
  <si>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</si>
  <si>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</si>
  <si>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</si>
  <si>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</si>
  <si>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</si>
  <si>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</si>
  <si>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</si>
  <si>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</si>
  <si>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</si>
  <si>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</si>
  <si>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</si>
  <si>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Amino Acids 1-Letter Code:</t>
  </si>
  <si>
    <t>Amino Acid Full Name</t>
  </si>
  <si>
    <t>Alanine</t>
  </si>
  <si>
    <t>Arginine</t>
  </si>
  <si>
    <t>Asparagine</t>
  </si>
  <si>
    <t>Aspartic Acid</t>
  </si>
  <si>
    <t>Cystein</t>
  </si>
  <si>
    <t>Glutamine</t>
  </si>
  <si>
    <t>Glutamic Acid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</si>
  <si>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</si>
  <si>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</si>
  <si>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</si>
  <si>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</si>
  <si>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</si>
  <si>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</si>
  <si>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</si>
  <si>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</si>
  <si>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</si>
  <si>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</si>
  <si>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</si>
  <si>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</si>
  <si>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</si>
  <si>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Control Sum:</t>
  </si>
  <si>
    <t>Based on FASTA File Proteome Sequences PENDANT/ Helmholtz Munich</t>
  </si>
  <si>
    <t>Relative Amount i.e. Molar Percentage (mol/mol):</t>
  </si>
  <si>
    <t>Molecular Weight (g/mol):</t>
  </si>
  <si>
    <t>Molecular Weight - 1 Water Molecule during polymerization (18.0153 g/mol)</t>
  </si>
  <si>
    <t>Weight of AA per mole Protein (g AA/mol Protein)</t>
  </si>
  <si>
    <t>Weight of AA per weight of Protein (g AA/g Protein)</t>
  </si>
  <si>
    <t>Weight of Protein (g) per mole Protein (g/mol):</t>
  </si>
  <si>
    <t>Relative amount of C</t>
  </si>
  <si>
    <t>Relative amount of H</t>
  </si>
  <si>
    <t>Relative amount of O</t>
  </si>
  <si>
    <t>Relative amount of N</t>
  </si>
  <si>
    <t>Relative amount of S</t>
  </si>
  <si>
    <t>Absolute amount of C per AA</t>
  </si>
  <si>
    <t>Absolute amount of H</t>
  </si>
  <si>
    <t>Absolute amount of O</t>
  </si>
  <si>
    <t>Absolute amount of N</t>
  </si>
  <si>
    <t>Absolute amount of S</t>
  </si>
  <si>
    <t>Normalized to C:</t>
  </si>
  <si>
    <t>Total amount of Desoxy Nucleotides:</t>
  </si>
  <si>
    <t>Nucleotide Full Name</t>
  </si>
  <si>
    <t>1-Letter Code:</t>
  </si>
  <si>
    <t>Molecular Weight - Pyrophosphate during polymerization (173.943  g/mol)</t>
  </si>
  <si>
    <t>Weight of DNA (g) per mole DNA (g/mol):</t>
  </si>
  <si>
    <t>U</t>
  </si>
  <si>
    <t>Total amount of Nucleotides:</t>
  </si>
  <si>
    <t>Based on A. Hernandez, D. Cooke, M. Lewis et al. (1997)</t>
  </si>
  <si>
    <t>Absolute Amount (µg/mg protein):</t>
  </si>
  <si>
    <t>Total amount of Nucleotides (µg/mg protein):</t>
  </si>
  <si>
    <t>Relative Amount (no unit):</t>
  </si>
  <si>
    <t>Cytidintriphosphat</t>
  </si>
  <si>
    <t>Guanosintriphosphat</t>
  </si>
  <si>
    <t>Uridintriphosphat</t>
  </si>
  <si>
    <t>Adeninetriphosphate</t>
  </si>
  <si>
    <t>desoxyAdeninetriphosphate</t>
  </si>
  <si>
    <t>desoxyThyminetriphosphat</t>
  </si>
  <si>
    <t>desoxyGuanosintriphosphat</t>
  </si>
  <si>
    <t>desoxyCytidintriphosphat</t>
  </si>
  <si>
    <t>PE</t>
  </si>
  <si>
    <t>Abbreviation:</t>
  </si>
  <si>
    <t>PC</t>
  </si>
  <si>
    <t>Free Sterols</t>
  </si>
  <si>
    <t>CLB Fatty Acids</t>
  </si>
  <si>
    <t>Free Fatty Acids</t>
  </si>
  <si>
    <t>Weight of NTP per mole RNA (g NTP/mol RNA)</t>
  </si>
  <si>
    <t>Weight of dNTP per mole DNA (g AA/mol DNA)</t>
  </si>
  <si>
    <t>Weight of dNTP per weight of DNA (g dNTP/g DNA)</t>
  </si>
  <si>
    <t>Weight of RNA (g) per mole RNA(g/mol):</t>
  </si>
  <si>
    <t>Weight of Total Lipids (g) per mole Total Lipids (g/mol):</t>
  </si>
  <si>
    <t>16:0</t>
  </si>
  <si>
    <t>16:1</t>
  </si>
  <si>
    <t>18:0</t>
  </si>
  <si>
    <t>18:1</t>
  </si>
  <si>
    <t>18:2</t>
  </si>
  <si>
    <t>18:3</t>
  </si>
  <si>
    <t>20:0</t>
  </si>
  <si>
    <t>20:1</t>
  </si>
  <si>
    <t>22:0</t>
  </si>
  <si>
    <t>Sum:</t>
  </si>
  <si>
    <t>Relative Amount (w/w):</t>
  </si>
  <si>
    <t>Palmitinsäure</t>
  </si>
  <si>
    <t>Stearinsäure</t>
  </si>
  <si>
    <t>Arachinsäure</t>
  </si>
  <si>
    <t>Ölsäure</t>
  </si>
  <si>
    <t>22:1</t>
  </si>
  <si>
    <t>Linolsäure</t>
  </si>
  <si>
    <t>Alpha-Linolensäure</t>
  </si>
  <si>
    <t>Weight of Fatty Acids per weight of Total Fatty Acids(g Fatty Acid/g Total Fatty Acids)</t>
  </si>
  <si>
    <t>Fatty Acids present in Model CL1710</t>
  </si>
  <si>
    <t>PALMITATE_c</t>
  </si>
  <si>
    <t>STEARIC_ACID_c</t>
  </si>
  <si>
    <t>OLEATE__45__CPD_c</t>
  </si>
  <si>
    <t>LINOLEIC_ACID_c</t>
  </si>
  <si>
    <t>LINOLENIC_ACID_c</t>
  </si>
  <si>
    <t>X</t>
  </si>
  <si>
    <t>Erucic acid</t>
  </si>
  <si>
    <t>Behenic acid</t>
  </si>
  <si>
    <t>11-Eicosenoic acid</t>
  </si>
  <si>
    <t>Ergosterol</t>
  </si>
  <si>
    <t>14-Methylfecosterol</t>
  </si>
  <si>
    <t>Obtusifoliol</t>
  </si>
  <si>
    <t>Eburicol</t>
  </si>
  <si>
    <t>Ergosta-5,8,22-trienol</t>
  </si>
  <si>
    <t>Ergosta-8,22-dienol</t>
  </si>
  <si>
    <t>Unknown Sterols</t>
  </si>
  <si>
    <t>IUPAC name:</t>
  </si>
  <si>
    <t>ergosta-5,7,22-trien-3β-ol</t>
  </si>
  <si>
    <t>Ergosta-8-enol</t>
  </si>
  <si>
    <t>ERGOSTEROL_c</t>
  </si>
  <si>
    <t>ergosta-5,7-dienol</t>
  </si>
  <si>
    <t>Ergosta-7-enol</t>
  </si>
  <si>
    <t>OBTUSIFOLIOL_c</t>
  </si>
  <si>
    <t>(3β,22E)-Ergosta-5,8,22-trien-3-ol</t>
  </si>
  <si>
    <t>ergost-7-enol</t>
  </si>
  <si>
    <t>Average Molecular Weight of a typical free fatty acid (g/mol):</t>
  </si>
  <si>
    <t>Average Molecular Weight of a typical sterol (g/mol):</t>
  </si>
  <si>
    <t>Palmitoleic acid</t>
  </si>
  <si>
    <t>2</t>
  </si>
  <si>
    <t>0</t>
  </si>
  <si>
    <t>Average Molecular Weight of a typical fatty acid in complex lipids (g/mol):</t>
  </si>
  <si>
    <t>Adapted Absolute Amount based on FA present in Model!</t>
  </si>
  <si>
    <t>Adapted Relative Amount (w/w) based on FA present in Model!:</t>
  </si>
  <si>
    <t>Phoshpatidylethanolamine</t>
  </si>
  <si>
    <t>Phoshatidylcholine</t>
  </si>
  <si>
    <t>Based on J. Ruiz-Herrera, C. Leon et al (1996) DOI: 10.1006/fgbi.1996.0028</t>
  </si>
  <si>
    <t>CELL WALL (Focus on Monomer and Polysaccharides)</t>
  </si>
  <si>
    <t>Chitin</t>
  </si>
  <si>
    <t>Chitosan</t>
  </si>
  <si>
    <t>Protein</t>
  </si>
  <si>
    <t>Polyuronides</t>
  </si>
  <si>
    <t>Phosphate</t>
  </si>
  <si>
    <t>Neutral Polysaccharides</t>
  </si>
  <si>
    <t>Average Percentage of total dry weight (g /100g Cell Wall):</t>
  </si>
  <si>
    <t>Neutral Polysaccharides present in Ustilago cell wall Based on J. Ruiz-Herrera, C. Leon et al (1996) DOI: 10.1006/fgbi.1996.0028</t>
  </si>
  <si>
    <t>Free Sterols present in Ustilago plasma membrane according to A. Hernandez, D. Cooke, M. Lewis et al. (1997)</t>
  </si>
  <si>
    <t>TOTAL LIPIDS of plasma membrane (Combination of fatty acids, sterols and phospholipids!)</t>
  </si>
  <si>
    <t>Free Fatty Acids present in Ustilago plasma membrane according to A. Hernandez, D. Cooke, M. Lewis et al. (1997)</t>
  </si>
  <si>
    <t>Fatty Acid Tails of Complex Lipids present in Ustilago plasma membrane according to A. Hernandez, D. Cooke, M. Lewis et al. (1997)</t>
  </si>
  <si>
    <t>Xylose</t>
  </si>
  <si>
    <t>Mannose</t>
  </si>
  <si>
    <t>Galactose</t>
  </si>
  <si>
    <t>Glucose</t>
  </si>
  <si>
    <t>Ribose</t>
  </si>
  <si>
    <t>Arabinose</t>
  </si>
  <si>
    <t>Fucose</t>
  </si>
  <si>
    <t>Percentage of total neutral polysaccharide content</t>
  </si>
  <si>
    <t>Molecular Weight (g/mol) - 2 H2O (36 g/mol):</t>
  </si>
  <si>
    <t>CPD-13559</t>
  </si>
  <si>
    <t>ALPHA-D-GALACTOSE</t>
  </si>
  <si>
    <t>ALPHA-GLUCOSE</t>
  </si>
  <si>
    <t>CPD-10330</t>
  </si>
  <si>
    <t>Weight of individual Cell Wall Components per weight of Total Cell Wall (g Cell Wall Component/g Total Cell Wall)</t>
  </si>
  <si>
    <t>Weight of CW component per mole Total Cell Wall (g CW component/mol Total Cell Wall)</t>
  </si>
  <si>
    <t>Adapted Absolute Amount based on CW components present in Model! (µg/mg protein)</t>
  </si>
  <si>
    <t>Adapted Relative Amount (w/w) based on CW components present in Model!:</t>
  </si>
  <si>
    <t>Average Molecular Weight (g/mol) combined from average molecular weight of CW components:</t>
  </si>
  <si>
    <t>dAMP</t>
  </si>
  <si>
    <t>dTMP</t>
  </si>
  <si>
    <t>dGMP</t>
  </si>
  <si>
    <t>dCMP</t>
  </si>
  <si>
    <t>Absolute amount of P</t>
  </si>
  <si>
    <t>Relative amount of P</t>
  </si>
  <si>
    <t>Absolute amount of O minus the Os from Pyrophosphate</t>
  </si>
  <si>
    <t>Absolute amount of P minus the Ps from pyrophosphate</t>
  </si>
  <si>
    <t>UMP</t>
  </si>
  <si>
    <t>AMP</t>
  </si>
  <si>
    <t>GMP</t>
  </si>
  <si>
    <t>CMP</t>
  </si>
  <si>
    <t>Total Free Fatty Acids</t>
  </si>
  <si>
    <t>Total Complex Bound FA</t>
  </si>
  <si>
    <t>PE Core</t>
  </si>
  <si>
    <t>PC Core</t>
  </si>
  <si>
    <t>Double Average Complex Bound FA</t>
  </si>
  <si>
    <t>Sum PC</t>
  </si>
  <si>
    <t>Sum PE</t>
  </si>
  <si>
    <t>CHITIN_c</t>
  </si>
  <si>
    <t>Pi_c</t>
  </si>
  <si>
    <t>Total Neutral Polysaccharides</t>
  </si>
  <si>
    <t>O</t>
  </si>
  <si>
    <t xml:space="preserve">N </t>
  </si>
  <si>
    <t>During unlimited growth phase</t>
  </si>
  <si>
    <t>During Nitrogen limitation</t>
  </si>
  <si>
    <t>DNA</t>
  </si>
  <si>
    <t>RNA</t>
  </si>
  <si>
    <t>Lipids</t>
  </si>
  <si>
    <t>Cell Wall</t>
  </si>
  <si>
    <t>Z</t>
  </si>
  <si>
    <t>B</t>
  </si>
  <si>
    <t>Unknown Percentages</t>
  </si>
  <si>
    <t>Result:</t>
  </si>
  <si>
    <t>Ash</t>
  </si>
  <si>
    <t>Small molecules</t>
  </si>
  <si>
    <t>Sum</t>
  </si>
  <si>
    <t>Biomass comp of A.Niger:</t>
  </si>
  <si>
    <t>mmol AA / g DW</t>
  </si>
  <si>
    <t>mmol dNTP / g DW</t>
  </si>
  <si>
    <t>mmol NTP / g DW</t>
  </si>
  <si>
    <t>mmol Lipid / g DW</t>
  </si>
  <si>
    <t>&lt;= LinOpt solved with Matlab! Upper and Lower bounds taken from D. Griffin Fungal Physiology 2nd Edition 1994</t>
  </si>
  <si>
    <t>Result Phosphor *10:</t>
  </si>
  <si>
    <t>Result Phosphor /10:</t>
  </si>
  <si>
    <t>Result Sulphur*10:</t>
  </si>
  <si>
    <t>Result Sulphur /10:</t>
  </si>
  <si>
    <t>Percentages Calculated from combined elemental composition U. maydis (CHNO) and S. cerevisiae (PS). Phoshorus content varied by /1 order of magnitude!</t>
  </si>
  <si>
    <t>Percentages Calculated from combined elemental composition U. maydis (CHNO) and S. cerevisiae (PS). Phoshorus content varied by *1 order of magnitude!</t>
  </si>
  <si>
    <t>Percentages Calculated from combined elemental composition U. maydis (CHNO) and S. cerevisiae (PS). Sulphur content varied by *1 order of magnitude!</t>
  </si>
  <si>
    <t>Percentages Calculated from combined elemental composition U. maydis (CHNO) and S. cerevisiae (PS). Sulphur content varied by /1 order of magnitude!</t>
  </si>
  <si>
    <t>Percentages Calculated from combined elemental composition U. maydis (CHNO) and S. cerevisiae (PS) [xchangedbounds] [Unit: g/g DW]</t>
  </si>
  <si>
    <t>Cp = mmol -P/mmol (Proteine)</t>
  </si>
  <si>
    <t>wt %</t>
  </si>
  <si>
    <t>Result (mmol -P/g DW)</t>
  </si>
  <si>
    <t>Total amount of DNA  per g DW:</t>
  </si>
  <si>
    <t>Total</t>
  </si>
  <si>
    <t>GAM:</t>
  </si>
  <si>
    <t>Weight of Water per mole Protein</t>
  </si>
  <si>
    <t>Weight of Water per weight of Protein</t>
  </si>
  <si>
    <t>mmol H2O / g DW per Proteinsynthesis</t>
  </si>
  <si>
    <t>Non Normalized Elemental Composition of Biomass:</t>
  </si>
  <si>
    <t>Proteins</t>
  </si>
  <si>
    <t>C16H23N5O16P2</t>
  </si>
  <si>
    <t>C6H12O6</t>
  </si>
  <si>
    <t>CPD-13559 /D__45__mannopyranose_c</t>
  </si>
  <si>
    <t>Average Molecular Weight of a typical Polysaccharide (g/mol):</t>
  </si>
  <si>
    <t>Weight of CellWall (g) per mole CellWall (g/mol):</t>
  </si>
  <si>
    <t>Weight of dNTP per weight of RNA (g RNA/g DW)</t>
  </si>
  <si>
    <t>Total Elemental Equation per mole protein:</t>
  </si>
  <si>
    <t>Total Elemental Equation per mole DNA:</t>
  </si>
  <si>
    <t>Total Elemental Equation per mole Lipids:</t>
  </si>
  <si>
    <t>Total Elemental Equation per mole Cell Wall:</t>
  </si>
  <si>
    <t>Summe</t>
  </si>
  <si>
    <t>g AA / g DW</t>
  </si>
  <si>
    <t>g dNTP / g DW</t>
  </si>
  <si>
    <t>g NTP / g DW</t>
  </si>
  <si>
    <t>g Lipids/ g DW</t>
  </si>
  <si>
    <t>Weight of Fatty Acid per mole Total Fatty Acids (g Fatty Acid/mol Free Fatty Acids)</t>
  </si>
  <si>
    <t>Weight of Fatty Acid per mole Total Fatty Acids (g Fatty Acid/mol Complex Lipids)</t>
  </si>
  <si>
    <t>Weight of Free Fatty Acids per mole Total Fatty Acids (g Free Fatty Acid/mol Total Fatty Acids)</t>
  </si>
  <si>
    <t>Average Molecular Weight (g/mol) combined from average molecular weight of lipids in complexes composition and phosphatidyl core:</t>
  </si>
  <si>
    <t>Adapted Absolute Amount based on lipids present in Model! (µg/mg protein)</t>
  </si>
  <si>
    <t>Adapted Relative Amount (w/w) based on lipids present in Model!:</t>
  </si>
  <si>
    <t>Weight of lipids per mole Total lipids (g lipids/mol Total lipids)</t>
  </si>
  <si>
    <t>Weight of lipids per weight of lipids (g lipids/g total lipids)</t>
  </si>
  <si>
    <t>mmol Free Fatty Acids / g DW</t>
  </si>
  <si>
    <t>Adapted Absolute Amount based of Free Sterols present in Model!</t>
  </si>
  <si>
    <t>Adapted Relative Amount (w/w) based of Free Sterols present in Model!:</t>
  </si>
  <si>
    <t>Weight of Free Sterols per mole Free Sterols (g Sterols/mol Sterols</t>
  </si>
  <si>
    <t>Weight of Free Sterols per weight of Total Free Sterols(g Sterols/g Total Sterols)</t>
  </si>
  <si>
    <t>Free Sterols present in Model CL1710</t>
  </si>
  <si>
    <t>mmol Cell Wall Components / g DW</t>
  </si>
  <si>
    <t>Weight of neutral polysaccarides per mole Total Cell Wall (g CW component/mol Total Cell Wall)</t>
  </si>
  <si>
    <t>Weight of neutral polysaccarides per mole per mole Total neutral polysaccharides (g  neutralpolysaccharides/mol total neutral polysaccharides)</t>
  </si>
  <si>
    <t>Neutral Polysaccharides present in Model CL1710</t>
  </si>
  <si>
    <t>Weight of individual Neutral Polysaccharides per weight of Total Cell Wall (g Cell Wall Component/g Total Cell Wall)</t>
  </si>
  <si>
    <t>mmol Protein per g DW:</t>
  </si>
  <si>
    <t>Growth-associated maintenance: Hydrolysis of 11,97257 mmol ATP/g DW</t>
  </si>
</sst>
</file>

<file path=xl/styles.xml><?xml version="1.0" encoding="utf-8"?>
<styleSheet xmlns="http://schemas.openxmlformats.org/spreadsheetml/2006/main">
  <numFmts count="7">
    <numFmt numFmtId="43" formatCode="_-* #,##0.00\ _€_-;\-* #,##0.00\ _€_-;_-* &quot;-&quot;??\ _€_-;_-@_-"/>
    <numFmt numFmtId="164" formatCode="0.000000"/>
    <numFmt numFmtId="165" formatCode="#,##0.000"/>
    <numFmt numFmtId="166" formatCode="0.0000"/>
    <numFmt numFmtId="167" formatCode="0.000"/>
    <numFmt numFmtId="168" formatCode="0.00000"/>
    <numFmt numFmtId="169" formatCode="#,##0.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sz val="11"/>
      <color rgb="FFFFFF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0" fillId="6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3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5" borderId="0" xfId="0" applyNumberForma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6" borderId="0" xfId="0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0" fillId="7" borderId="0" xfId="0" applyFill="1" applyAlignment="1">
      <alignment wrapText="1"/>
    </xf>
    <xf numFmtId="0" fontId="0" fillId="7" borderId="0" xfId="0" applyFill="1" applyAlignment="1">
      <alignment horizontal="left" vertical="top"/>
    </xf>
    <xf numFmtId="2" fontId="0" fillId="0" borderId="0" xfId="0" applyNumberFormat="1"/>
    <xf numFmtId="164" fontId="0" fillId="0" borderId="0" xfId="1" applyNumberFormat="1" applyFont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0" fillId="0" borderId="0" xfId="0" applyFont="1"/>
    <xf numFmtId="2" fontId="0" fillId="8" borderId="0" xfId="0" applyNumberFormat="1" applyFill="1" applyAlignment="1">
      <alignment horizontal="left" vertical="top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67" fontId="0" fillId="0" borderId="0" xfId="1" applyNumberFormat="1" applyFont="1" applyAlignment="1">
      <alignment horizontal="left" vertical="top"/>
    </xf>
    <xf numFmtId="0" fontId="4" fillId="0" borderId="0" xfId="2" applyFont="1" applyAlignment="1" applyProtection="1">
      <alignment horizontal="left" vertical="top"/>
    </xf>
    <xf numFmtId="0" fontId="0" fillId="9" borderId="0" xfId="0" applyFill="1" applyAlignment="1">
      <alignment wrapText="1"/>
    </xf>
    <xf numFmtId="167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0" fillId="9" borderId="0" xfId="0" applyFill="1" applyAlignment="1">
      <alignment horizontal="left" vertical="top" wrapText="1"/>
    </xf>
    <xf numFmtId="2" fontId="0" fillId="8" borderId="0" xfId="0" applyNumberFormat="1" applyFill="1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164" fontId="0" fillId="0" borderId="0" xfId="1" applyNumberFormat="1" applyFont="1" applyAlignment="1">
      <alignment horizontal="left" wrapText="1"/>
    </xf>
    <xf numFmtId="167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 wrapText="1"/>
    </xf>
    <xf numFmtId="166" fontId="0" fillId="0" borderId="0" xfId="0" applyNumberFormat="1" applyAlignment="1">
      <alignment horizontal="left" vertical="top" wrapText="1"/>
    </xf>
    <xf numFmtId="0" fontId="5" fillId="0" borderId="0" xfId="2" applyFont="1" applyAlignment="1" applyProtection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horizontal="left" vertical="top"/>
    </xf>
    <xf numFmtId="168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  <xf numFmtId="168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169" fontId="0" fillId="0" borderId="0" xfId="0" applyNumberFormat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10" borderId="0" xfId="0" applyFill="1" applyAlignment="1">
      <alignment horizontal="left" vertical="top" wrapText="1"/>
    </xf>
    <xf numFmtId="168" fontId="0" fillId="10" borderId="0" xfId="0" applyNumberFormat="1" applyFill="1" applyAlignment="1">
      <alignment horizontal="left" vertical="top"/>
    </xf>
    <xf numFmtId="0" fontId="0" fillId="10" borderId="0" xfId="0" applyFill="1"/>
    <xf numFmtId="3" fontId="0" fillId="10" borderId="0" xfId="0" applyNumberFormat="1" applyFill="1" applyAlignment="1">
      <alignment horizontal="left" vertical="top"/>
    </xf>
    <xf numFmtId="169" fontId="0" fillId="10" borderId="0" xfId="0" applyNumberFormat="1" applyFill="1" applyAlignment="1">
      <alignment horizontal="left" vertical="top"/>
    </xf>
    <xf numFmtId="0" fontId="6" fillId="0" borderId="0" xfId="0" applyFont="1"/>
    <xf numFmtId="0" fontId="6" fillId="0" borderId="0" xfId="0" applyFont="1" applyAlignme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0" fillId="0" borderId="0" xfId="0" applyAlignment="1"/>
    <xf numFmtId="166" fontId="0" fillId="0" borderId="0" xfId="0" applyNumberFormat="1"/>
    <xf numFmtId="2" fontId="0" fillId="0" borderId="0" xfId="0" applyNumberFormat="1" applyAlignment="1">
      <alignment wrapText="1"/>
    </xf>
    <xf numFmtId="164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0" fillId="0" borderId="0" xfId="0" applyAlignment="1">
      <alignment vertical="top"/>
    </xf>
    <xf numFmtId="0" fontId="0" fillId="8" borderId="0" xfId="0" applyFill="1" applyAlignment="1">
      <alignment horizontal="left" vertical="top" wrapText="1"/>
    </xf>
  </cellXfs>
  <cellStyles count="3">
    <cellStyle name="Dezimal" xfId="1" builtinId="3"/>
    <cellStyle name="Hyperlink" xfId="2" builtinId="8"/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topLeftCell="D1" zoomScale="70" zoomScaleNormal="70" workbookViewId="0">
      <selection activeCell="N12" sqref="N12:N16"/>
    </sheetView>
  </sheetViews>
  <sheetFormatPr baseColWidth="10" defaultRowHeight="15"/>
  <cols>
    <col min="1" max="1" width="22.5703125" customWidth="1"/>
    <col min="2" max="2" width="16.85546875" customWidth="1"/>
    <col min="3" max="3" width="17.28515625" customWidth="1"/>
    <col min="4" max="4" width="18.28515625" customWidth="1"/>
    <col min="5" max="5" width="22.7109375" customWidth="1"/>
    <col min="6" max="6" width="26.7109375" customWidth="1"/>
    <col min="7" max="7" width="18.140625" customWidth="1"/>
    <col min="8" max="8" width="17" customWidth="1"/>
    <col min="9" max="9" width="16.5703125" customWidth="1"/>
    <col min="10" max="10" width="11.28515625" customWidth="1"/>
    <col min="11" max="11" width="11" customWidth="1"/>
    <col min="12" max="12" width="8.42578125" hidden="1" customWidth="1"/>
    <col min="13" max="13" width="14.42578125" customWidth="1"/>
    <col min="14" max="14" width="39.5703125" customWidth="1"/>
  </cols>
  <sheetData>
    <row r="1" spans="1:18" ht="60">
      <c r="A1" s="17" t="s">
        <v>45</v>
      </c>
      <c r="B1" s="9" t="s">
        <v>0</v>
      </c>
      <c r="C1" s="9"/>
      <c r="D1" s="10">
        <v>4000178</v>
      </c>
      <c r="N1" s="49" t="s">
        <v>237</v>
      </c>
      <c r="O1" s="50" t="s">
        <v>152</v>
      </c>
      <c r="P1" s="49" t="s">
        <v>206</v>
      </c>
      <c r="Q1" s="49" t="s">
        <v>207</v>
      </c>
      <c r="R1" s="49" t="s">
        <v>236</v>
      </c>
    </row>
    <row r="2" spans="1:18" ht="60">
      <c r="A2" s="18" t="s">
        <v>23</v>
      </c>
      <c r="B2" s="4" t="s">
        <v>22</v>
      </c>
      <c r="C2" s="5" t="s">
        <v>1</v>
      </c>
      <c r="D2" s="6" t="s">
        <v>46</v>
      </c>
      <c r="E2" s="7" t="s">
        <v>47</v>
      </c>
      <c r="F2" s="8" t="s">
        <v>48</v>
      </c>
      <c r="G2" s="6" t="s">
        <v>49</v>
      </c>
      <c r="H2" s="14" t="s">
        <v>50</v>
      </c>
      <c r="I2" s="11" t="s">
        <v>218</v>
      </c>
      <c r="J2" s="11" t="s">
        <v>254</v>
      </c>
      <c r="N2" s="50" t="s">
        <v>277</v>
      </c>
      <c r="O2" s="49">
        <f>SUM(I3:I22)</f>
        <v>2.7688640232159876</v>
      </c>
      <c r="P2" s="51">
        <v>9.5847007737385696E-3</v>
      </c>
      <c r="Q2" s="51">
        <v>0.30696051374298999</v>
      </c>
      <c r="R2" s="52"/>
    </row>
    <row r="3" spans="1:18">
      <c r="A3" s="11" t="s">
        <v>24</v>
      </c>
      <c r="B3" s="11" t="s">
        <v>2</v>
      </c>
      <c r="C3" s="11">
        <v>422758</v>
      </c>
      <c r="D3" s="11">
        <f>(C3)/($D$1)</f>
        <v>0.10568479702653232</v>
      </c>
      <c r="E3" s="11">
        <v>89.1</v>
      </c>
      <c r="F3" s="11">
        <f>(E3)-18.0153</f>
        <v>71.084699999999998</v>
      </c>
      <c r="G3" s="11">
        <f>(D3)*(F3)</f>
        <v>7.5125720911919416</v>
      </c>
      <c r="H3" s="13">
        <f>(G3)*1/($G$23)</f>
        <v>6.8924090739290469E-2</v>
      </c>
      <c r="I3">
        <f>((H3)*('Elemental Equation'!$E$2)*1000)/(F3)</f>
        <v>0.2926268322876493</v>
      </c>
      <c r="J3">
        <f>((H3)*('Elemental Equation'!$E$2))</f>
        <v>2.0801290585117864E-2</v>
      </c>
      <c r="N3" s="49" t="s">
        <v>233</v>
      </c>
      <c r="O3" s="49">
        <f>'Elemental Equation'!B2</f>
        <v>0.30180000000000001</v>
      </c>
      <c r="P3" s="49">
        <f>'Elemental Equation'!B3</f>
        <v>3.0000000000000001E-3</v>
      </c>
      <c r="Q3" s="49">
        <f>'Elemental Equation'!B4</f>
        <v>0.1</v>
      </c>
      <c r="R3" s="52"/>
    </row>
    <row r="4" spans="1:18">
      <c r="A4" s="11" t="s">
        <v>25</v>
      </c>
      <c r="B4" s="11" t="s">
        <v>3</v>
      </c>
      <c r="C4" s="11">
        <v>255293</v>
      </c>
      <c r="D4" s="11">
        <f t="shared" ref="D4:D22" si="0">(C4)/($D$1)</f>
        <v>6.3820409991755367E-2</v>
      </c>
      <c r="E4" s="11">
        <v>174.2</v>
      </c>
      <c r="F4" s="11">
        <f t="shared" ref="F4:F22" si="1">(E4)-18.0153</f>
        <v>156.18469999999999</v>
      </c>
      <c r="G4" s="11">
        <f>(D4)*(F4)</f>
        <v>9.9677715884393141</v>
      </c>
      <c r="H4" s="13">
        <f>(G4)*1/($G$23)</f>
        <v>9.1449317902134175E-2</v>
      </c>
      <c r="I4">
        <f>((H4)*('Elemental Equation'!$E$2)*1000)/(F4)</f>
        <v>0.17671003717306558</v>
      </c>
      <c r="J4">
        <f>((H4)*('Elemental Equation'!$E$2))</f>
        <v>2.7599404142864097E-2</v>
      </c>
      <c r="N4" s="49" t="s">
        <v>232</v>
      </c>
      <c r="O4" s="49">
        <v>4.3239999999999998</v>
      </c>
      <c r="P4" s="53">
        <v>1.365</v>
      </c>
      <c r="Q4" s="54">
        <v>0.40600000000000003</v>
      </c>
      <c r="R4" s="52"/>
    </row>
    <row r="5" spans="1:18">
      <c r="A5" s="11" t="s">
        <v>26</v>
      </c>
      <c r="B5" s="11" t="s">
        <v>4</v>
      </c>
      <c r="C5" s="11">
        <v>134463</v>
      </c>
      <c r="D5" s="11">
        <f t="shared" si="0"/>
        <v>3.3614254165689625E-2</v>
      </c>
      <c r="E5" s="11">
        <v>132.1</v>
      </c>
      <c r="F5" s="11">
        <f t="shared" si="1"/>
        <v>114.0847</v>
      </c>
      <c r="G5" s="11">
        <f>(D5)*(F5)</f>
        <v>3.8348721022164511</v>
      </c>
      <c r="H5" s="13">
        <f t="shared" ref="H5:H22" si="2">(G5)*1/($G$23)</f>
        <v>3.5183033126115953E-2</v>
      </c>
      <c r="I5">
        <f>((H5)*('Elemental Equation'!$E$2)*1000)/(F5)</f>
        <v>9.3073299026616152E-2</v>
      </c>
      <c r="J5">
        <f>((H5)*('Elemental Equation'!$E$2))</f>
        <v>1.0618239397461796E-2</v>
      </c>
      <c r="N5" s="49" t="s">
        <v>234</v>
      </c>
      <c r="O5" s="49">
        <f>((O2)*(O4))</f>
        <v>11.97256803638593</v>
      </c>
      <c r="P5" s="49">
        <f>((P2)*(P4))</f>
        <v>1.3083116556153147E-2</v>
      </c>
      <c r="Q5" s="49">
        <f>((Q2)*(Q4))</f>
        <v>0.12462596857965394</v>
      </c>
      <c r="R5" s="52">
        <f>SUM(O5:Q5)</f>
        <v>12.110277121521737</v>
      </c>
    </row>
    <row r="6" spans="1:18">
      <c r="A6" s="11" t="s">
        <v>27</v>
      </c>
      <c r="B6" s="11" t="s">
        <v>5</v>
      </c>
      <c r="C6" s="11">
        <v>232095</v>
      </c>
      <c r="D6" s="11">
        <f t="shared" si="0"/>
        <v>5.8021168058021419E-2</v>
      </c>
      <c r="E6" s="11">
        <v>133.1</v>
      </c>
      <c r="F6" s="11">
        <f t="shared" si="1"/>
        <v>115.0847</v>
      </c>
      <c r="G6" s="11">
        <f>(D6)*(F6)</f>
        <v>6.6773487196069778</v>
      </c>
      <c r="H6" s="13">
        <f t="shared" si="2"/>
        <v>6.1261334129181909E-2</v>
      </c>
      <c r="I6">
        <f>((H6)*('Elemental Equation'!$E$2)*1000)/(F6)</f>
        <v>0.16065272482082413</v>
      </c>
      <c r="J6">
        <f>((H6)*('Elemental Equation'!$E$2))</f>
        <v>1.84886706401871E-2</v>
      </c>
      <c r="N6" s="49" t="s">
        <v>278</v>
      </c>
      <c r="O6" s="52"/>
      <c r="P6" s="52"/>
      <c r="Q6" s="52"/>
      <c r="R6" s="52"/>
    </row>
    <row r="7" spans="1:18" ht="60">
      <c r="A7" s="11" t="s">
        <v>28</v>
      </c>
      <c r="B7" s="11" t="s">
        <v>6</v>
      </c>
      <c r="C7" s="11">
        <v>42755</v>
      </c>
      <c r="D7" s="11">
        <f t="shared" si="0"/>
        <v>1.0688274371790455E-2</v>
      </c>
      <c r="E7" s="11">
        <v>121.3</v>
      </c>
      <c r="F7" s="11">
        <f t="shared" si="1"/>
        <v>103.2847</v>
      </c>
      <c r="G7" s="11">
        <f t="shared" ref="G7:G22" si="3">(D7)*(F7)</f>
        <v>1.1039352120080657</v>
      </c>
      <c r="H7" s="13">
        <f>(G7)*1/($G$23)</f>
        <v>1.0128053321704595E-2</v>
      </c>
      <c r="I7">
        <f>((H7)*('Elemental Equation'!$E$2)*1000)/(F7)</f>
        <v>2.9594378378312053E-2</v>
      </c>
      <c r="J7">
        <f>((H7)*('Elemental Equation'!$E$2))</f>
        <v>3.056646492490447E-3</v>
      </c>
      <c r="M7" s="12" t="s">
        <v>238</v>
      </c>
      <c r="N7" s="12" t="s">
        <v>239</v>
      </c>
      <c r="P7" s="2" t="s">
        <v>240</v>
      </c>
    </row>
    <row r="8" spans="1:18">
      <c r="A8" s="11" t="s">
        <v>29</v>
      </c>
      <c r="B8" s="11" t="s">
        <v>7</v>
      </c>
      <c r="C8" s="11">
        <v>177738</v>
      </c>
      <c r="D8" s="11">
        <f t="shared" si="0"/>
        <v>4.4432522752737506E-2</v>
      </c>
      <c r="E8" s="11">
        <v>147.1</v>
      </c>
      <c r="F8" s="11">
        <f t="shared" si="1"/>
        <v>129.0847</v>
      </c>
      <c r="G8" s="11">
        <f>(D8)*(F8)</f>
        <v>5.7355588697802951</v>
      </c>
      <c r="H8" s="13">
        <f t="shared" si="2"/>
        <v>5.2620883391557356E-2</v>
      </c>
      <c r="I8">
        <f>((H8)*('Elemental Equation'!$E$2)*1000)/(F8)</f>
        <v>0.12302761371078069</v>
      </c>
      <c r="J8">
        <f>((H8)*('Elemental Equation'!$E$2))</f>
        <v>1.5880982607572012E-2</v>
      </c>
      <c r="M8">
        <f>19*18.0153</f>
        <v>342.29070000000002</v>
      </c>
      <c r="N8" s="13">
        <f>(M8)*1/($G$23)</f>
        <v>3.1403459400643361</v>
      </c>
      <c r="P8">
        <f>((N8)*('Elemental Equation'!$E$2)*1000)/18.0153</f>
        <v>52.608416441103763</v>
      </c>
    </row>
    <row r="9" spans="1:18">
      <c r="A9" s="11" t="s">
        <v>30</v>
      </c>
      <c r="B9" s="11" t="s">
        <v>8</v>
      </c>
      <c r="C9" s="11">
        <v>213967</v>
      </c>
      <c r="D9" s="11">
        <f t="shared" si="0"/>
        <v>5.3489369723047325E-2</v>
      </c>
      <c r="E9" s="11">
        <v>146.19999999999999</v>
      </c>
      <c r="F9" s="11">
        <f t="shared" si="1"/>
        <v>128.18469999999999</v>
      </c>
      <c r="G9" s="11">
        <f t="shared" si="3"/>
        <v>6.8565188111379038</v>
      </c>
      <c r="H9" s="13">
        <f t="shared" si="2"/>
        <v>6.2905130088347902E-2</v>
      </c>
      <c r="I9">
        <f>((H9)*('Elemental Equation'!$E$2)*1000)/(F9)</f>
        <v>0.14810479145064426</v>
      </c>
      <c r="J9">
        <f>((H9)*('Elemental Equation'!$E$2))</f>
        <v>1.8984768260663396E-2</v>
      </c>
    </row>
    <row r="10" spans="1:18">
      <c r="A10" s="11" t="s">
        <v>31</v>
      </c>
      <c r="B10" s="11" t="s">
        <v>9</v>
      </c>
      <c r="C10" s="11">
        <v>257703</v>
      </c>
      <c r="D10" s="11">
        <f t="shared" si="0"/>
        <v>6.442288318169842E-2</v>
      </c>
      <c r="E10" s="11">
        <v>75.099999999999994</v>
      </c>
      <c r="F10" s="11">
        <f t="shared" si="1"/>
        <v>57.084699999999998</v>
      </c>
      <c r="G10" s="11">
        <f t="shared" si="3"/>
        <v>3.6775609595622996</v>
      </c>
      <c r="H10" s="13">
        <f t="shared" si="2"/>
        <v>3.3739782087858571E-2</v>
      </c>
      <c r="I10">
        <f>((H10)*('Elemental Equation'!$E$2)*1000)/(F10)</f>
        <v>0.17837820351365105</v>
      </c>
      <c r="J10">
        <f>((H10)*('Elemental Equation'!$E$2))</f>
        <v>1.0182666234115716E-2</v>
      </c>
    </row>
    <row r="11" spans="1:18">
      <c r="A11" s="11" t="s">
        <v>32</v>
      </c>
      <c r="B11" s="11" t="s">
        <v>10</v>
      </c>
      <c r="C11" s="11">
        <v>105129</v>
      </c>
      <c r="D11" s="11">
        <f t="shared" si="0"/>
        <v>2.6281080491918109E-2</v>
      </c>
      <c r="E11" s="11">
        <v>155.19999999999999</v>
      </c>
      <c r="F11" s="11">
        <f t="shared" si="1"/>
        <v>137.18469999999999</v>
      </c>
      <c r="G11" s="11">
        <f t="shared" si="3"/>
        <v>3.6053621429596379</v>
      </c>
      <c r="H11" s="13">
        <f t="shared" si="2"/>
        <v>3.3077394063306287E-2</v>
      </c>
      <c r="I11">
        <f>((H11)*('Elemental Equation'!$E$2)*1000)/(F11)</f>
        <v>7.2768738265315575E-2</v>
      </c>
      <c r="J11">
        <f>((H11)*('Elemental Equation'!$E$2))</f>
        <v>9.9827575283058384E-3</v>
      </c>
    </row>
    <row r="12" spans="1:18">
      <c r="A12" s="11" t="s">
        <v>33</v>
      </c>
      <c r="B12" s="11" t="s">
        <v>11</v>
      </c>
      <c r="C12" s="11">
        <v>166207</v>
      </c>
      <c r="D12" s="11">
        <f t="shared" si="0"/>
        <v>4.1549901029404195E-2</v>
      </c>
      <c r="E12" s="11">
        <v>131.19999999999999</v>
      </c>
      <c r="F12" s="11">
        <f t="shared" si="1"/>
        <v>113.18469999999999</v>
      </c>
      <c r="G12" s="11">
        <f t="shared" si="3"/>
        <v>4.7028130830428045</v>
      </c>
      <c r="H12" s="13">
        <f t="shared" si="2"/>
        <v>4.3145957433885627E-2</v>
      </c>
      <c r="I12">
        <f>((H12)*('Elemental Equation'!$E$2)*1000)/(F12)</f>
        <v>0.11504602612850222</v>
      </c>
      <c r="J12">
        <f>((H12)*('Elemental Equation'!$E$2))</f>
        <v>1.3021449953546683E-2</v>
      </c>
      <c r="N12" s="27"/>
    </row>
    <row r="13" spans="1:18">
      <c r="A13" s="11" t="s">
        <v>34</v>
      </c>
      <c r="B13" s="11" t="s">
        <v>12</v>
      </c>
      <c r="C13" s="11">
        <v>358325</v>
      </c>
      <c r="D13" s="11">
        <f t="shared" si="0"/>
        <v>8.9577263811760371E-2</v>
      </c>
      <c r="E13" s="11">
        <v>131.19999999999999</v>
      </c>
      <c r="F13" s="11">
        <f t="shared" si="1"/>
        <v>113.18469999999999</v>
      </c>
      <c r="G13" s="11">
        <f t="shared" si="3"/>
        <v>10.138775731354954</v>
      </c>
      <c r="H13" s="13">
        <f t="shared" si="2"/>
        <v>9.3018195367806811E-2</v>
      </c>
      <c r="I13">
        <f>((H13)*('Elemental Equation'!$E$2)*1000)/(F13)</f>
        <v>0.24802726306651074</v>
      </c>
      <c r="J13">
        <f>((H13)*('Elemental Equation'!$E$2))</f>
        <v>2.8072891362004096E-2</v>
      </c>
      <c r="N13" s="47"/>
    </row>
    <row r="14" spans="1:18">
      <c r="A14" s="11" t="s">
        <v>35</v>
      </c>
      <c r="B14" s="11" t="s">
        <v>13</v>
      </c>
      <c r="C14" s="11">
        <v>176258</v>
      </c>
      <c r="D14" s="11">
        <f t="shared" si="0"/>
        <v>4.4062539217004842E-2</v>
      </c>
      <c r="E14" s="11">
        <v>146.19999999999999</v>
      </c>
      <c r="F14" s="11">
        <f t="shared" si="1"/>
        <v>128.18469999999999</v>
      </c>
      <c r="G14" s="11">
        <f t="shared" si="3"/>
        <v>5.6481433707700006</v>
      </c>
      <c r="H14" s="13">
        <f t="shared" si="2"/>
        <v>5.1818889918127678E-2</v>
      </c>
      <c r="I14">
        <f>((H14)*('Elemental Equation'!$E$2)*1000)/(F14)</f>
        <v>0.12200317960950825</v>
      </c>
      <c r="J14">
        <f>((H14)*('Elemental Equation'!$E$2))</f>
        <v>1.5638940977290933E-2</v>
      </c>
      <c r="N14" s="47"/>
    </row>
    <row r="15" spans="1:18">
      <c r="A15" s="11" t="s">
        <v>36</v>
      </c>
      <c r="B15" s="11" t="s">
        <v>14</v>
      </c>
      <c r="C15" s="11">
        <v>76920</v>
      </c>
      <c r="D15" s="11">
        <f t="shared" si="0"/>
        <v>1.9229144303078514E-2</v>
      </c>
      <c r="E15" s="11">
        <v>149.19999999999999</v>
      </c>
      <c r="F15" s="11">
        <f t="shared" si="1"/>
        <v>131.18469999999999</v>
      </c>
      <c r="G15" s="11">
        <f t="shared" si="3"/>
        <v>2.5225695266560639</v>
      </c>
      <c r="H15" s="13">
        <f t="shared" si="2"/>
        <v>2.3143313480513447E-2</v>
      </c>
      <c r="I15">
        <f>((H15)*('Elemental Equation'!$E$2)*1000)/(F15)</f>
        <v>5.3242885858022768E-2</v>
      </c>
      <c r="J15">
        <f>((H15)*('Elemental Equation'!$E$2))</f>
        <v>6.9846520084189583E-3</v>
      </c>
      <c r="N15" s="11"/>
    </row>
    <row r="16" spans="1:18">
      <c r="A16" s="11" t="s">
        <v>37</v>
      </c>
      <c r="B16" s="11" t="s">
        <v>15</v>
      </c>
      <c r="C16" s="11">
        <v>129091</v>
      </c>
      <c r="D16" s="11">
        <f t="shared" si="0"/>
        <v>3.2271313926530272E-2</v>
      </c>
      <c r="E16" s="11">
        <v>165.2</v>
      </c>
      <c r="F16" s="11">
        <f t="shared" si="1"/>
        <v>147.18469999999999</v>
      </c>
      <c r="G16" s="11">
        <f t="shared" si="3"/>
        <v>4.7498436588821802</v>
      </c>
      <c r="H16" s="13">
        <f t="shared" si="2"/>
        <v>4.3577439439958454E-2</v>
      </c>
      <c r="I16">
        <f>((H16)*('Elemental Equation'!$E$2)*1000)/(F16)</f>
        <v>8.9354880113078752E-2</v>
      </c>
      <c r="J16">
        <f>((H16)*('Elemental Equation'!$E$2))</f>
        <v>1.3151671222979461E-2</v>
      </c>
      <c r="N16" s="11"/>
    </row>
    <row r="17" spans="1:13">
      <c r="A17" s="11" t="s">
        <v>38</v>
      </c>
      <c r="B17" s="11" t="s">
        <v>16</v>
      </c>
      <c r="C17" s="11">
        <v>234789</v>
      </c>
      <c r="D17" s="11">
        <f t="shared" si="0"/>
        <v>5.8694638088605054E-2</v>
      </c>
      <c r="E17" s="11">
        <v>115.1</v>
      </c>
      <c r="F17" s="11">
        <f t="shared" si="1"/>
        <v>97.084699999999998</v>
      </c>
      <c r="G17" s="11">
        <f t="shared" si="3"/>
        <v>5.6983513304407953</v>
      </c>
      <c r="H17" s="13">
        <f t="shared" si="2"/>
        <v>5.2279522831353467E-2</v>
      </c>
      <c r="I17">
        <f>((H17)*('Elemental Equation'!$E$2)*1000)/(F17)</f>
        <v>0.16251747175922135</v>
      </c>
      <c r="J17">
        <f>((H17)*('Elemental Equation'!$E$2))</f>
        <v>1.5777959990502476E-2</v>
      </c>
    </row>
    <row r="18" spans="1:13">
      <c r="A18" s="11" t="s">
        <v>39</v>
      </c>
      <c r="B18" s="11" t="s">
        <v>17</v>
      </c>
      <c r="C18" s="11">
        <v>404286</v>
      </c>
      <c r="D18" s="11">
        <f t="shared" si="0"/>
        <v>0.10106700251838793</v>
      </c>
      <c r="E18" s="11">
        <v>105.1</v>
      </c>
      <c r="F18" s="11">
        <f t="shared" si="1"/>
        <v>87.084699999999998</v>
      </c>
      <c r="G18" s="11">
        <f t="shared" si="3"/>
        <v>8.8013895942130578</v>
      </c>
      <c r="H18" s="13">
        <f t="shared" si="2"/>
        <v>8.0748346592856513E-2</v>
      </c>
      <c r="I18">
        <f>((H18)*('Elemental Equation'!$E$2)*1000)/(F18)</f>
        <v>0.27984078720744399</v>
      </c>
      <c r="J18">
        <f>((H18)*('Elemental Equation'!$E$2))</f>
        <v>2.4369851001724098E-2</v>
      </c>
    </row>
    <row r="19" spans="1:13">
      <c r="A19" s="11" t="s">
        <v>40</v>
      </c>
      <c r="B19" s="11" t="s">
        <v>18</v>
      </c>
      <c r="C19" s="11">
        <v>240431</v>
      </c>
      <c r="D19" s="11">
        <f t="shared" si="0"/>
        <v>6.0105075324148077E-2</v>
      </c>
      <c r="E19" s="11">
        <v>119.1</v>
      </c>
      <c r="F19" s="11">
        <f t="shared" si="1"/>
        <v>101.0847</v>
      </c>
      <c r="G19" s="11">
        <f t="shared" si="3"/>
        <v>6.0757035076189112</v>
      </c>
      <c r="H19" s="13">
        <f t="shared" si="2"/>
        <v>5.574154028486808E-2</v>
      </c>
      <c r="I19">
        <f>((H19)*('Elemental Equation'!$E$2)*1000)/(F19)</f>
        <v>0.16642278067772065</v>
      </c>
      <c r="J19">
        <f>((H19)*('Elemental Equation'!$E$2))</f>
        <v>1.6822796857973187E-2</v>
      </c>
    </row>
    <row r="20" spans="1:13">
      <c r="A20" s="11" t="s">
        <v>41</v>
      </c>
      <c r="B20" s="11" t="s">
        <v>19</v>
      </c>
      <c r="C20" s="11">
        <v>47468</v>
      </c>
      <c r="D20" s="11">
        <f t="shared" si="0"/>
        <v>1.1866471941998582E-2</v>
      </c>
      <c r="E20" s="11">
        <v>204.2</v>
      </c>
      <c r="F20" s="11">
        <f t="shared" si="1"/>
        <v>186.18469999999999</v>
      </c>
      <c r="G20" s="11">
        <f t="shared" si="3"/>
        <v>2.2093555185794234</v>
      </c>
      <c r="H20" s="13">
        <f t="shared" si="2"/>
        <v>2.0269731643102275E-2</v>
      </c>
      <c r="I20">
        <f>((H20)*('Elemental Equation'!$E$2)*1000)/(F20)</f>
        <v>3.2856647242701827E-2</v>
      </c>
      <c r="J20">
        <f>((H20)*('Elemental Equation'!$E$2))</f>
        <v>6.1174050098882667E-3</v>
      </c>
    </row>
    <row r="21" spans="1:13">
      <c r="A21" s="11" t="s">
        <v>42</v>
      </c>
      <c r="B21" s="11" t="s">
        <v>20</v>
      </c>
      <c r="C21" s="11">
        <v>89950</v>
      </c>
      <c r="D21" s="11">
        <f t="shared" si="0"/>
        <v>2.2486499350778889E-2</v>
      </c>
      <c r="E21" s="11">
        <v>181.2</v>
      </c>
      <c r="F21" s="11">
        <f t="shared" si="1"/>
        <v>163.18469999999999</v>
      </c>
      <c r="G21" s="11">
        <f t="shared" si="3"/>
        <v>3.6694526506070475</v>
      </c>
      <c r="H21" s="13">
        <f t="shared" si="2"/>
        <v>3.3665392409411528E-2</v>
      </c>
      <c r="I21">
        <f>((H21)*('Elemental Equation'!$E$2)*1000)/(F21)</f>
        <v>6.2262059060441334E-2</v>
      </c>
      <c r="J21">
        <f>((H21)*('Elemental Equation'!$E$2))</f>
        <v>1.01602154291604E-2</v>
      </c>
    </row>
    <row r="22" spans="1:13">
      <c r="A22" s="11" t="s">
        <v>43</v>
      </c>
      <c r="B22" s="11" t="s">
        <v>21</v>
      </c>
      <c r="C22" s="11">
        <v>234552</v>
      </c>
      <c r="D22" s="11">
        <f t="shared" si="0"/>
        <v>5.8635390725112729E-2</v>
      </c>
      <c r="E22" s="11">
        <v>117.1</v>
      </c>
      <c r="F22" s="11">
        <f t="shared" si="1"/>
        <v>99.084699999999998</v>
      </c>
      <c r="G22" s="11">
        <f t="shared" si="3"/>
        <v>5.8098700993805767</v>
      </c>
      <c r="H22" s="13">
        <f t="shared" si="2"/>
        <v>5.3302651748618868E-2</v>
      </c>
      <c r="I22">
        <f>((H22)*('Elemental Equation'!$E$2)*1000)/(F22)</f>
        <v>0.16235342386597701</v>
      </c>
      <c r="J22">
        <f>((H22)*('Elemental Equation'!$E$2))</f>
        <v>1.6086740297733174E-2</v>
      </c>
    </row>
    <row r="23" spans="1:13" ht="30">
      <c r="A23" s="11" t="s">
        <v>44</v>
      </c>
      <c r="B23" s="11"/>
      <c r="C23" s="11">
        <f>SUM(C3:C22)</f>
        <v>4000178</v>
      </c>
      <c r="D23" s="11">
        <f>SUM(D3:D22)</f>
        <v>1.0000000000000002</v>
      </c>
      <c r="E23" s="11">
        <f>SUM(E3:E22)</f>
        <v>2738.1999999999994</v>
      </c>
      <c r="F23" s="12" t="s">
        <v>51</v>
      </c>
      <c r="G23" s="11">
        <f>SUM(G3:G22)</f>
        <v>108.99776856844871</v>
      </c>
      <c r="H23" s="13"/>
      <c r="J23" t="s">
        <v>253</v>
      </c>
      <c r="K23" s="11">
        <f>SUM(J3:J22)</f>
        <v>0.30180000000000001</v>
      </c>
    </row>
    <row r="24" spans="1:13" ht="45">
      <c r="D24" s="13" t="s">
        <v>57</v>
      </c>
      <c r="E24" s="13" t="s">
        <v>58</v>
      </c>
      <c r="F24" s="13" t="s">
        <v>59</v>
      </c>
      <c r="G24" s="13" t="s">
        <v>60</v>
      </c>
      <c r="H24" s="13" t="s">
        <v>61</v>
      </c>
      <c r="I24" s="13" t="s">
        <v>52</v>
      </c>
      <c r="J24" s="13" t="s">
        <v>53</v>
      </c>
      <c r="K24" s="13" t="s">
        <v>54</v>
      </c>
      <c r="L24" s="13" t="s">
        <v>55</v>
      </c>
      <c r="M24" s="13" t="s">
        <v>56</v>
      </c>
    </row>
    <row r="25" spans="1:13">
      <c r="C25" s="11" t="s">
        <v>24</v>
      </c>
      <c r="D25" s="12">
        <v>3</v>
      </c>
      <c r="E25" s="12">
        <v>7</v>
      </c>
      <c r="F25" s="12">
        <v>2</v>
      </c>
      <c r="G25" s="41">
        <v>1</v>
      </c>
      <c r="H25" s="12">
        <v>0</v>
      </c>
      <c r="I25" s="32">
        <f>(D25)*($D3)</f>
        <v>0.31705439107959693</v>
      </c>
      <c r="J25" s="32">
        <f t="shared" ref="J25:M25" si="4">(E25)*($D3)</f>
        <v>0.73979357918572619</v>
      </c>
      <c r="K25" s="32">
        <f t="shared" si="4"/>
        <v>0.21136959405306463</v>
      </c>
      <c r="L25" s="32">
        <f t="shared" si="4"/>
        <v>0.10568479702653232</v>
      </c>
      <c r="M25" s="32">
        <f t="shared" si="4"/>
        <v>0</v>
      </c>
    </row>
    <row r="26" spans="1:13">
      <c r="C26" s="11" t="s">
        <v>25</v>
      </c>
      <c r="D26" s="12">
        <v>6</v>
      </c>
      <c r="E26" s="12">
        <v>15</v>
      </c>
      <c r="F26" s="12">
        <v>2</v>
      </c>
      <c r="G26" s="41">
        <v>4</v>
      </c>
      <c r="H26" s="12">
        <v>0</v>
      </c>
      <c r="I26" s="32">
        <f t="shared" ref="I26:I43" si="5">(D26)*($D4)</f>
        <v>0.3829224599505322</v>
      </c>
      <c r="J26" s="32">
        <f t="shared" ref="J26:J44" si="6">(E26)*($D4)</f>
        <v>0.95730614987633045</v>
      </c>
      <c r="K26" s="32">
        <f t="shared" ref="K26:K44" si="7">(F26)*($D4)</f>
        <v>0.12764081998351073</v>
      </c>
      <c r="L26" s="32">
        <f t="shared" ref="L26:L44" si="8">(G26)*($D4)</f>
        <v>0.25528163996702147</v>
      </c>
      <c r="M26" s="32">
        <f t="shared" ref="M26:M44" si="9">(H26)*($D4)</f>
        <v>0</v>
      </c>
    </row>
    <row r="27" spans="1:13">
      <c r="C27" s="11" t="s">
        <v>26</v>
      </c>
      <c r="D27" s="12">
        <v>4</v>
      </c>
      <c r="E27" s="12">
        <v>8</v>
      </c>
      <c r="F27" s="12">
        <v>3</v>
      </c>
      <c r="G27" s="41">
        <v>2</v>
      </c>
      <c r="H27" s="12">
        <v>0</v>
      </c>
      <c r="I27" s="32">
        <f t="shared" si="5"/>
        <v>0.1344570166627585</v>
      </c>
      <c r="J27" s="32">
        <f t="shared" si="6"/>
        <v>0.268914033325517</v>
      </c>
      <c r="K27" s="32">
        <f t="shared" si="7"/>
        <v>0.10084276249706887</v>
      </c>
      <c r="L27" s="32">
        <f t="shared" si="8"/>
        <v>6.722850833137925E-2</v>
      </c>
      <c r="M27" s="32">
        <f t="shared" si="9"/>
        <v>0</v>
      </c>
    </row>
    <row r="28" spans="1:13">
      <c r="C28" s="11" t="s">
        <v>27</v>
      </c>
      <c r="D28" s="12">
        <v>4</v>
      </c>
      <c r="E28" s="12">
        <v>6</v>
      </c>
      <c r="F28" s="12">
        <v>4</v>
      </c>
      <c r="G28" s="41">
        <v>1</v>
      </c>
      <c r="H28" s="12">
        <v>0</v>
      </c>
      <c r="I28" s="32">
        <f t="shared" si="5"/>
        <v>0.23208467223208568</v>
      </c>
      <c r="J28" s="32">
        <f t="shared" si="6"/>
        <v>0.34812700834812849</v>
      </c>
      <c r="K28" s="32">
        <f t="shared" si="7"/>
        <v>0.23208467223208568</v>
      </c>
      <c r="L28" s="32">
        <f t="shared" si="8"/>
        <v>5.8021168058021419E-2</v>
      </c>
      <c r="M28" s="32">
        <f t="shared" si="9"/>
        <v>0</v>
      </c>
    </row>
    <row r="29" spans="1:13">
      <c r="C29" s="11" t="s">
        <v>28</v>
      </c>
      <c r="D29" s="12">
        <v>3</v>
      </c>
      <c r="E29" s="12">
        <v>7</v>
      </c>
      <c r="F29" s="12">
        <v>2</v>
      </c>
      <c r="G29" s="41">
        <v>1</v>
      </c>
      <c r="H29" s="12">
        <v>1</v>
      </c>
      <c r="I29" s="32">
        <f t="shared" si="5"/>
        <v>3.2064823115371364E-2</v>
      </c>
      <c r="J29" s="32">
        <f t="shared" si="6"/>
        <v>7.4817920602533186E-2</v>
      </c>
      <c r="K29" s="32">
        <f t="shared" si="7"/>
        <v>2.1376548743580911E-2</v>
      </c>
      <c r="L29" s="32">
        <f t="shared" si="8"/>
        <v>1.0688274371790455E-2</v>
      </c>
      <c r="M29" s="32">
        <f t="shared" si="9"/>
        <v>1.0688274371790455E-2</v>
      </c>
    </row>
    <row r="30" spans="1:13">
      <c r="C30" s="11" t="s">
        <v>29</v>
      </c>
      <c r="D30" s="12">
        <v>5</v>
      </c>
      <c r="E30" s="12">
        <v>10</v>
      </c>
      <c r="F30" s="12">
        <v>3</v>
      </c>
      <c r="G30" s="41">
        <v>2</v>
      </c>
      <c r="H30" s="12">
        <v>0</v>
      </c>
      <c r="I30" s="32">
        <f t="shared" si="5"/>
        <v>0.22216261376368754</v>
      </c>
      <c r="J30" s="32">
        <f t="shared" si="6"/>
        <v>0.44432522752737508</v>
      </c>
      <c r="K30" s="32">
        <f t="shared" si="7"/>
        <v>0.13329756825821251</v>
      </c>
      <c r="L30" s="32">
        <f t="shared" si="8"/>
        <v>8.8865045505475013E-2</v>
      </c>
      <c r="M30" s="32">
        <f t="shared" si="9"/>
        <v>0</v>
      </c>
    </row>
    <row r="31" spans="1:13">
      <c r="C31" s="11" t="s">
        <v>30</v>
      </c>
      <c r="D31" s="12">
        <v>5</v>
      </c>
      <c r="E31" s="12">
        <v>8</v>
      </c>
      <c r="F31" s="12">
        <v>4</v>
      </c>
      <c r="G31" s="41">
        <v>1</v>
      </c>
      <c r="H31" s="12">
        <v>0</v>
      </c>
      <c r="I31" s="32">
        <f t="shared" si="5"/>
        <v>0.2674468486152366</v>
      </c>
      <c r="J31" s="32">
        <f t="shared" si="6"/>
        <v>0.4279149577843786</v>
      </c>
      <c r="K31" s="32">
        <f t="shared" si="7"/>
        <v>0.2139574788921893</v>
      </c>
      <c r="L31" s="32">
        <f t="shared" si="8"/>
        <v>5.3489369723047325E-2</v>
      </c>
      <c r="M31" s="32">
        <f t="shared" si="9"/>
        <v>0</v>
      </c>
    </row>
    <row r="32" spans="1:13">
      <c r="C32" s="11" t="s">
        <v>31</v>
      </c>
      <c r="D32" s="12">
        <v>2</v>
      </c>
      <c r="E32" s="12">
        <v>5</v>
      </c>
      <c r="F32" s="12">
        <v>2</v>
      </c>
      <c r="G32" s="41">
        <v>1</v>
      </c>
      <c r="H32" s="12">
        <v>0</v>
      </c>
      <c r="I32" s="32">
        <f t="shared" si="5"/>
        <v>0.12884576636339684</v>
      </c>
      <c r="J32" s="32">
        <f t="shared" si="6"/>
        <v>0.3221144159084921</v>
      </c>
      <c r="K32" s="32">
        <f t="shared" si="7"/>
        <v>0.12884576636339684</v>
      </c>
      <c r="L32" s="32">
        <f t="shared" si="8"/>
        <v>6.442288318169842E-2</v>
      </c>
      <c r="M32" s="32">
        <f t="shared" si="9"/>
        <v>0</v>
      </c>
    </row>
    <row r="33" spans="3:13">
      <c r="C33" s="11" t="s">
        <v>32</v>
      </c>
      <c r="D33" s="12">
        <v>6</v>
      </c>
      <c r="E33" s="12">
        <v>9</v>
      </c>
      <c r="F33" s="12">
        <v>2</v>
      </c>
      <c r="G33" s="41">
        <v>3</v>
      </c>
      <c r="H33" s="12">
        <v>0</v>
      </c>
      <c r="I33" s="32">
        <f t="shared" si="5"/>
        <v>0.15768648295150867</v>
      </c>
      <c r="J33" s="32">
        <f t="shared" si="6"/>
        <v>0.23652972442726297</v>
      </c>
      <c r="K33" s="32">
        <f t="shared" si="7"/>
        <v>5.2562160983836217E-2</v>
      </c>
      <c r="L33" s="32">
        <f t="shared" si="8"/>
        <v>7.8843241475754333E-2</v>
      </c>
      <c r="M33" s="32">
        <f t="shared" si="9"/>
        <v>0</v>
      </c>
    </row>
    <row r="34" spans="3:13">
      <c r="C34" s="11" t="s">
        <v>33</v>
      </c>
      <c r="D34" s="12">
        <v>6</v>
      </c>
      <c r="E34" s="12">
        <v>13</v>
      </c>
      <c r="F34" s="12">
        <v>2</v>
      </c>
      <c r="G34" s="41">
        <v>1</v>
      </c>
      <c r="H34" s="12">
        <v>0</v>
      </c>
      <c r="I34" s="32">
        <f t="shared" si="5"/>
        <v>0.24929940617642515</v>
      </c>
      <c r="J34" s="32">
        <f t="shared" si="6"/>
        <v>0.54014871338225456</v>
      </c>
      <c r="K34" s="32">
        <f t="shared" si="7"/>
        <v>8.3099802058808389E-2</v>
      </c>
      <c r="L34" s="32">
        <f t="shared" si="8"/>
        <v>4.1549901029404195E-2</v>
      </c>
      <c r="M34" s="32">
        <f t="shared" si="9"/>
        <v>0</v>
      </c>
    </row>
    <row r="35" spans="3:13">
      <c r="C35" s="11" t="s">
        <v>34</v>
      </c>
      <c r="D35" s="12">
        <v>6</v>
      </c>
      <c r="E35" s="12">
        <v>13</v>
      </c>
      <c r="F35" s="12">
        <v>2</v>
      </c>
      <c r="G35" s="41">
        <v>1</v>
      </c>
      <c r="H35" s="12">
        <v>0</v>
      </c>
      <c r="I35" s="32">
        <f t="shared" si="5"/>
        <v>0.53746358287056228</v>
      </c>
      <c r="J35" s="32">
        <f t="shared" si="6"/>
        <v>1.1645044295528848</v>
      </c>
      <c r="K35" s="32">
        <f t="shared" si="7"/>
        <v>0.17915452762352074</v>
      </c>
      <c r="L35" s="32">
        <f t="shared" si="8"/>
        <v>8.9577263811760371E-2</v>
      </c>
      <c r="M35" s="32">
        <f t="shared" si="9"/>
        <v>0</v>
      </c>
    </row>
    <row r="36" spans="3:13">
      <c r="C36" s="11" t="s">
        <v>35</v>
      </c>
      <c r="D36" s="12">
        <v>6</v>
      </c>
      <c r="E36" s="12">
        <v>15</v>
      </c>
      <c r="F36" s="12">
        <v>2</v>
      </c>
      <c r="G36" s="41">
        <v>2</v>
      </c>
      <c r="H36" s="12">
        <v>0</v>
      </c>
      <c r="I36" s="32">
        <f t="shared" si="5"/>
        <v>0.26437523530202905</v>
      </c>
      <c r="J36" s="32">
        <f t="shared" si="6"/>
        <v>0.66093808825507261</v>
      </c>
      <c r="K36" s="32">
        <f t="shared" si="7"/>
        <v>8.8125078434009685E-2</v>
      </c>
      <c r="L36" s="32">
        <f t="shared" si="8"/>
        <v>8.8125078434009685E-2</v>
      </c>
      <c r="M36" s="32">
        <f t="shared" si="9"/>
        <v>0</v>
      </c>
    </row>
    <row r="37" spans="3:13">
      <c r="C37" s="11" t="s">
        <v>36</v>
      </c>
      <c r="D37" s="12">
        <v>5</v>
      </c>
      <c r="E37" s="12">
        <v>11</v>
      </c>
      <c r="F37" s="12">
        <v>2</v>
      </c>
      <c r="G37" s="41">
        <v>1</v>
      </c>
      <c r="H37" s="12">
        <v>1</v>
      </c>
      <c r="I37" s="32">
        <f t="shared" si="5"/>
        <v>9.6145721515392565E-2</v>
      </c>
      <c r="J37" s="32">
        <f t="shared" si="6"/>
        <v>0.21152058733386364</v>
      </c>
      <c r="K37" s="32">
        <f t="shared" si="7"/>
        <v>3.8458288606157028E-2</v>
      </c>
      <c r="L37" s="32">
        <f t="shared" si="8"/>
        <v>1.9229144303078514E-2</v>
      </c>
      <c r="M37" s="32">
        <f t="shared" si="9"/>
        <v>1.9229144303078514E-2</v>
      </c>
    </row>
    <row r="38" spans="3:13">
      <c r="C38" s="11" t="s">
        <v>37</v>
      </c>
      <c r="D38" s="12">
        <v>9</v>
      </c>
      <c r="E38" s="12">
        <v>11</v>
      </c>
      <c r="F38" s="12">
        <v>2</v>
      </c>
      <c r="G38" s="41">
        <v>1</v>
      </c>
      <c r="H38" s="12">
        <v>0</v>
      </c>
      <c r="I38" s="32">
        <f t="shared" si="5"/>
        <v>0.29044182533877244</v>
      </c>
      <c r="J38" s="32">
        <f t="shared" si="6"/>
        <v>0.35498445319183297</v>
      </c>
      <c r="K38" s="32">
        <f t="shared" si="7"/>
        <v>6.4542627853060544E-2</v>
      </c>
      <c r="L38" s="32">
        <f t="shared" si="8"/>
        <v>3.2271313926530272E-2</v>
      </c>
      <c r="M38" s="32">
        <f t="shared" si="9"/>
        <v>0</v>
      </c>
    </row>
    <row r="39" spans="3:13">
      <c r="C39" s="11" t="s">
        <v>38</v>
      </c>
      <c r="D39" s="12">
        <v>5</v>
      </c>
      <c r="E39" s="12">
        <v>9</v>
      </c>
      <c r="F39" s="12">
        <v>2</v>
      </c>
      <c r="G39" s="41">
        <v>1</v>
      </c>
      <c r="H39" s="12">
        <v>0</v>
      </c>
      <c r="I39" s="32">
        <f t="shared" si="5"/>
        <v>0.29347319044302528</v>
      </c>
      <c r="J39" s="32">
        <f t="shared" si="6"/>
        <v>0.52825174279744547</v>
      </c>
      <c r="K39" s="32">
        <f t="shared" si="7"/>
        <v>0.11738927617721011</v>
      </c>
      <c r="L39" s="32">
        <f t="shared" si="8"/>
        <v>5.8694638088605054E-2</v>
      </c>
      <c r="M39" s="32">
        <f t="shared" si="9"/>
        <v>0</v>
      </c>
    </row>
    <row r="40" spans="3:13">
      <c r="C40" s="11" t="s">
        <v>39</v>
      </c>
      <c r="D40" s="12">
        <v>3</v>
      </c>
      <c r="E40" s="12">
        <v>7</v>
      </c>
      <c r="F40" s="12">
        <v>3</v>
      </c>
      <c r="G40" s="41">
        <v>1</v>
      </c>
      <c r="H40" s="12">
        <v>0</v>
      </c>
      <c r="I40" s="32">
        <f>(D40)*($D18)</f>
        <v>0.30320100755516377</v>
      </c>
      <c r="J40" s="32">
        <f t="shared" si="6"/>
        <v>0.7074690176287155</v>
      </c>
      <c r="K40" s="32">
        <f t="shared" si="7"/>
        <v>0.30320100755516377</v>
      </c>
      <c r="L40" s="32">
        <f t="shared" si="8"/>
        <v>0.10106700251838793</v>
      </c>
      <c r="M40" s="32">
        <f t="shared" si="9"/>
        <v>0</v>
      </c>
    </row>
    <row r="41" spans="3:13">
      <c r="C41" s="11" t="s">
        <v>40</v>
      </c>
      <c r="D41" s="12">
        <v>4</v>
      </c>
      <c r="E41" s="12">
        <v>9</v>
      </c>
      <c r="F41" s="12">
        <v>3</v>
      </c>
      <c r="G41" s="41">
        <v>1</v>
      </c>
      <c r="H41" s="12">
        <v>0</v>
      </c>
      <c r="I41" s="32">
        <f t="shared" si="5"/>
        <v>0.24042030129659231</v>
      </c>
      <c r="J41" s="32">
        <f t="shared" si="6"/>
        <v>0.54094567791733272</v>
      </c>
      <c r="K41" s="32">
        <f t="shared" si="7"/>
        <v>0.18031522597244423</v>
      </c>
      <c r="L41" s="32">
        <f t="shared" si="8"/>
        <v>6.0105075324148077E-2</v>
      </c>
      <c r="M41" s="32">
        <f t="shared" si="9"/>
        <v>0</v>
      </c>
    </row>
    <row r="42" spans="3:13">
      <c r="C42" s="11" t="s">
        <v>41</v>
      </c>
      <c r="D42" s="12">
        <v>11</v>
      </c>
      <c r="E42" s="12">
        <v>12</v>
      </c>
      <c r="F42" s="12">
        <v>2</v>
      </c>
      <c r="G42" s="41">
        <v>2</v>
      </c>
      <c r="H42" s="12">
        <v>0</v>
      </c>
      <c r="I42" s="32">
        <f t="shared" si="5"/>
        <v>0.13053119136198441</v>
      </c>
      <c r="J42" s="32">
        <f t="shared" si="6"/>
        <v>0.14239766330398299</v>
      </c>
      <c r="K42" s="32">
        <f t="shared" si="7"/>
        <v>2.3732943883997163E-2</v>
      </c>
      <c r="L42" s="32">
        <f t="shared" si="8"/>
        <v>2.3732943883997163E-2</v>
      </c>
      <c r="M42" s="32">
        <f t="shared" si="9"/>
        <v>0</v>
      </c>
    </row>
    <row r="43" spans="3:13">
      <c r="C43" s="11" t="s">
        <v>42</v>
      </c>
      <c r="D43" s="12">
        <v>9</v>
      </c>
      <c r="E43" s="12">
        <v>11</v>
      </c>
      <c r="F43" s="12">
        <v>3</v>
      </c>
      <c r="G43" s="41">
        <v>1</v>
      </c>
      <c r="H43" s="12">
        <v>0</v>
      </c>
      <c r="I43" s="32">
        <f t="shared" si="5"/>
        <v>0.20237849415701001</v>
      </c>
      <c r="J43" s="32">
        <f t="shared" si="6"/>
        <v>0.24735149285856778</v>
      </c>
      <c r="K43" s="32">
        <f t="shared" si="7"/>
        <v>6.7459498052336669E-2</v>
      </c>
      <c r="L43" s="32">
        <f t="shared" si="8"/>
        <v>2.2486499350778889E-2</v>
      </c>
      <c r="M43" s="32">
        <f t="shared" si="9"/>
        <v>0</v>
      </c>
    </row>
    <row r="44" spans="3:13">
      <c r="C44" s="11" t="s">
        <v>43</v>
      </c>
      <c r="D44" s="12">
        <v>5</v>
      </c>
      <c r="E44" s="12">
        <v>11</v>
      </c>
      <c r="F44" s="12">
        <v>2</v>
      </c>
      <c r="G44" s="41">
        <v>1</v>
      </c>
      <c r="H44" s="12">
        <v>0</v>
      </c>
      <c r="I44" s="32">
        <f>(D44)*($D22)</f>
        <v>0.29317695362556362</v>
      </c>
      <c r="J44" s="32">
        <f t="shared" si="6"/>
        <v>0.64498929797624005</v>
      </c>
      <c r="K44" s="32">
        <f t="shared" si="7"/>
        <v>0.11727078145022546</v>
      </c>
      <c r="L44" s="32">
        <f t="shared" si="8"/>
        <v>5.8635390725112729E-2</v>
      </c>
      <c r="M44" s="32">
        <f t="shared" si="9"/>
        <v>0</v>
      </c>
    </row>
    <row r="45" spans="3:13" ht="45">
      <c r="C45" s="13" t="s">
        <v>249</v>
      </c>
      <c r="D45" s="11">
        <f t="shared" ref="D45:J45" si="10">SUM(D25:D44)</f>
        <v>107</v>
      </c>
      <c r="E45" s="11">
        <f t="shared" si="10"/>
        <v>197</v>
      </c>
      <c r="F45" s="11">
        <f t="shared" si="10"/>
        <v>49</v>
      </c>
      <c r="G45" s="11">
        <f t="shared" si="10"/>
        <v>29</v>
      </c>
      <c r="H45" s="11">
        <f t="shared" si="10"/>
        <v>2</v>
      </c>
      <c r="I45" s="11">
        <f>SUM(I25:I44)</f>
        <v>4.7756319843766954</v>
      </c>
      <c r="J45" s="11">
        <f t="shared" si="10"/>
        <v>9.5633441811839379</v>
      </c>
      <c r="K45" s="11">
        <f t="shared" ref="K45:M45" si="11">SUM(K25:K44)</f>
        <v>2.4847264296738794</v>
      </c>
      <c r="L45" s="11">
        <f t="shared" si="11"/>
        <v>1.3779991790365331</v>
      </c>
      <c r="M45" s="11">
        <f t="shared" si="11"/>
        <v>2.9917418674868967E-2</v>
      </c>
    </row>
    <row r="46" spans="3:13">
      <c r="D46" s="32"/>
      <c r="E46" s="32"/>
      <c r="F46" s="32"/>
      <c r="G46" s="32"/>
      <c r="H46" s="32" t="s">
        <v>62</v>
      </c>
      <c r="I46" s="32">
        <f>(I45)/($I$45)</f>
        <v>1</v>
      </c>
      <c r="J46" s="32">
        <f>(J45)/($I$45)</f>
        <v>2.0025295526267657</v>
      </c>
      <c r="K46" s="32">
        <f>(K45)/($I$45)</f>
        <v>0.52029269378431386</v>
      </c>
      <c r="L46" s="32">
        <f>(L45)/($I$45)</f>
        <v>0.28854802538064217</v>
      </c>
      <c r="M46" s="32">
        <f>(M45)/($I$45)</f>
        <v>6.2645988578564479E-3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topLeftCell="C1" zoomScale="85" zoomScaleNormal="85" workbookViewId="0">
      <selection activeCell="G6" sqref="G3:G6"/>
    </sheetView>
  </sheetViews>
  <sheetFormatPr baseColWidth="10" defaultRowHeight="15"/>
  <cols>
    <col min="1" max="1" width="29.7109375" customWidth="1"/>
    <col min="2" max="2" width="28.85546875" customWidth="1"/>
    <col min="3" max="3" width="18.42578125" customWidth="1"/>
    <col min="4" max="4" width="19.85546875" customWidth="1"/>
    <col min="5" max="5" width="26.7109375" customWidth="1"/>
    <col min="6" max="6" width="30" customWidth="1"/>
    <col min="7" max="7" width="18.85546875" customWidth="1"/>
    <col min="8" max="8" width="23.7109375" customWidth="1"/>
    <col min="13" max="13" width="28.140625" customWidth="1"/>
  </cols>
  <sheetData>
    <row r="1" spans="1:16" ht="45">
      <c r="A1" s="1" t="s">
        <v>45</v>
      </c>
      <c r="B1" s="9" t="s">
        <v>63</v>
      </c>
      <c r="C1" s="9"/>
      <c r="D1" s="10">
        <f>(19667013-22900)</f>
        <v>19644113</v>
      </c>
    </row>
    <row r="2" spans="1:16" ht="106.5" customHeight="1">
      <c r="A2" s="3" t="s">
        <v>64</v>
      </c>
      <c r="B2" s="4" t="s">
        <v>65</v>
      </c>
      <c r="C2" s="16" t="s">
        <v>1</v>
      </c>
      <c r="D2" s="6" t="s">
        <v>46</v>
      </c>
      <c r="E2" s="7" t="s">
        <v>47</v>
      </c>
      <c r="F2" s="8" t="s">
        <v>66</v>
      </c>
      <c r="G2" s="6" t="s">
        <v>89</v>
      </c>
      <c r="H2" s="14" t="s">
        <v>90</v>
      </c>
      <c r="I2" s="11" t="s">
        <v>219</v>
      </c>
      <c r="J2" s="11" t="s">
        <v>255</v>
      </c>
      <c r="M2" s="12" t="s">
        <v>235</v>
      </c>
      <c r="N2" s="46">
        <v>9.5847007737385696E-3</v>
      </c>
      <c r="O2" s="11"/>
      <c r="P2" s="11"/>
    </row>
    <row r="3" spans="1:16">
      <c r="A3" t="s">
        <v>78</v>
      </c>
      <c r="B3" t="s">
        <v>2</v>
      </c>
      <c r="C3" s="19">
        <f>9030014/2</f>
        <v>4515007</v>
      </c>
      <c r="D3" s="19">
        <f>(C3)/($D$1)</f>
        <v>0.2298402070890144</v>
      </c>
      <c r="E3" s="20">
        <v>491.181623</v>
      </c>
      <c r="F3" s="19">
        <f>(E3)-173.943</f>
        <v>317.23862299999996</v>
      </c>
      <c r="G3" s="11">
        <f>(D3)*(F3)</f>
        <v>72.914190806953755</v>
      </c>
      <c r="H3" s="19">
        <f>(G3)*1/($G$7)</f>
        <v>0.23295356701464393</v>
      </c>
      <c r="I3" s="43">
        <f>((H3)*('Elemental Equation'!$E$3)*1000)/(F3)</f>
        <v>2.2029496107223109E-3</v>
      </c>
      <c r="J3" s="43">
        <f>((H3)*('Elemental Equation'!$E$3))</f>
        <v>6.9886070104393182E-4</v>
      </c>
      <c r="M3" s="11" t="s">
        <v>233</v>
      </c>
      <c r="N3" s="11">
        <f>'Elemental Equation'!B3</f>
        <v>3.0000000000000001E-3</v>
      </c>
      <c r="O3" s="11"/>
      <c r="P3" s="11"/>
    </row>
    <row r="4" spans="1:16">
      <c r="A4" t="s">
        <v>79</v>
      </c>
      <c r="B4" t="s">
        <v>18</v>
      </c>
      <c r="C4" s="19">
        <f>9030014/2</f>
        <v>4515007</v>
      </c>
      <c r="D4" s="19">
        <f t="shared" ref="D4:D6" si="0">(C4)/($D$1)</f>
        <v>0.2298402070890144</v>
      </c>
      <c r="E4" s="20">
        <v>482.16800000000001</v>
      </c>
      <c r="F4" s="19">
        <f t="shared" ref="F4:F6" si="1">(E4)-173.943</f>
        <v>308.22500000000002</v>
      </c>
      <c r="G4" s="11">
        <f t="shared" ref="G4:G6" si="2">(D4)*(F4)</f>
        <v>70.842497830011467</v>
      </c>
      <c r="H4" s="19">
        <f t="shared" ref="H4:H6" si="3">(G4)*1/($G$7)</f>
        <v>0.22633471458829474</v>
      </c>
      <c r="I4" s="43">
        <f>((H4)*('Elemental Equation'!$E$3)*1000)/(F4)</f>
        <v>2.2029496107223105E-3</v>
      </c>
      <c r="J4" s="43">
        <f>((H4)*('Elemental Equation'!$E$3))</f>
        <v>6.790041437648842E-4</v>
      </c>
      <c r="M4" s="11" t="s">
        <v>232</v>
      </c>
      <c r="N4" s="47">
        <v>1.365</v>
      </c>
      <c r="O4" s="11"/>
      <c r="P4" s="11"/>
    </row>
    <row r="5" spans="1:16">
      <c r="A5" t="s">
        <v>80</v>
      </c>
      <c r="B5" t="s">
        <v>9</v>
      </c>
      <c r="C5" s="2">
        <f>10614099/2</f>
        <v>5307049.5</v>
      </c>
      <c r="D5" s="19">
        <f t="shared" si="0"/>
        <v>0.27015979291098557</v>
      </c>
      <c r="E5" s="20">
        <v>507.18102299999998</v>
      </c>
      <c r="F5" s="19">
        <f t="shared" si="1"/>
        <v>333.238023</v>
      </c>
      <c r="G5" s="11">
        <f t="shared" si="2"/>
        <v>90.027515283746254</v>
      </c>
      <c r="H5" s="19">
        <f t="shared" si="3"/>
        <v>0.28762893179929472</v>
      </c>
      <c r="I5" s="43">
        <f>((H5)*('Elemental Equation'!$E$3)*1000)/(F5)</f>
        <v>2.5894007761469769E-3</v>
      </c>
      <c r="J5" s="43">
        <f>((H5)*('Elemental Equation'!$E$3))</f>
        <v>8.6288679539788416E-4</v>
      </c>
      <c r="M5" s="11" t="s">
        <v>234</v>
      </c>
      <c r="N5" s="11">
        <f>((N2)*(N4))</f>
        <v>1.3083116556153147E-2</v>
      </c>
      <c r="O5" s="11"/>
      <c r="P5" s="11"/>
    </row>
    <row r="6" spans="1:16">
      <c r="A6" t="s">
        <v>81</v>
      </c>
      <c r="B6" t="s">
        <v>6</v>
      </c>
      <c r="C6" s="2">
        <f>10614099/2</f>
        <v>5307049.5</v>
      </c>
      <c r="D6" s="19">
        <f t="shared" si="0"/>
        <v>0.27015979291098557</v>
      </c>
      <c r="E6" s="20">
        <v>467.15692300000001</v>
      </c>
      <c r="F6" s="19">
        <f t="shared" si="1"/>
        <v>293.21392300000002</v>
      </c>
      <c r="G6" s="11">
        <f t="shared" si="2"/>
        <v>79.21461271629768</v>
      </c>
      <c r="H6" s="19">
        <f t="shared" si="3"/>
        <v>0.25308278659776662</v>
      </c>
      <c r="I6" s="43">
        <f>((H6)*('Elemental Equation'!$E$3)*1000)/(F6)</f>
        <v>2.5894007761469765E-3</v>
      </c>
      <c r="J6" s="43">
        <f>((H6)*('Elemental Equation'!$E$3))</f>
        <v>7.5924835979329988E-4</v>
      </c>
    </row>
    <row r="7" spans="1:16" ht="30">
      <c r="C7" s="19"/>
      <c r="D7" s="19"/>
      <c r="E7" s="19"/>
      <c r="F7" s="12" t="s">
        <v>67</v>
      </c>
      <c r="G7" s="11">
        <f>SUM(G3:G6)</f>
        <v>312.99881663700916</v>
      </c>
      <c r="H7" s="19"/>
      <c r="I7" s="43">
        <f>SUM(I3:I6)</f>
        <v>9.5847007737385748E-3</v>
      </c>
      <c r="J7" s="19"/>
    </row>
    <row r="8" spans="1:16">
      <c r="C8" s="19"/>
      <c r="D8" s="19"/>
      <c r="E8" s="19"/>
      <c r="F8" s="19"/>
      <c r="G8" s="19"/>
      <c r="H8" s="19"/>
      <c r="I8" s="19"/>
      <c r="J8" s="19"/>
    </row>
    <row r="9" spans="1:16">
      <c r="C9" s="19"/>
      <c r="D9" s="19"/>
      <c r="E9" s="19"/>
      <c r="F9" s="19"/>
      <c r="G9" s="19"/>
      <c r="H9" s="19"/>
      <c r="I9" s="19"/>
      <c r="J9" s="19"/>
    </row>
    <row r="10" spans="1:16">
      <c r="C10" s="19"/>
      <c r="D10" s="19"/>
      <c r="E10" s="19"/>
      <c r="F10" s="19"/>
      <c r="G10" s="19"/>
      <c r="H10" s="19"/>
      <c r="I10" s="19"/>
      <c r="J10" s="19"/>
    </row>
    <row r="11" spans="1:16">
      <c r="C11" s="19"/>
      <c r="D11" s="19"/>
      <c r="E11" s="19"/>
      <c r="F11" s="19"/>
      <c r="G11" s="19"/>
      <c r="H11" s="19"/>
      <c r="I11" s="19"/>
      <c r="J11" s="19"/>
    </row>
    <row r="12" spans="1:16">
      <c r="C12" s="19"/>
      <c r="D12" s="19"/>
      <c r="E12" s="19"/>
      <c r="F12" s="19"/>
      <c r="G12" s="19"/>
      <c r="H12" s="19"/>
      <c r="I12" s="19"/>
      <c r="J12" s="19"/>
    </row>
    <row r="13" spans="1:16" ht="45">
      <c r="C13" s="13" t="s">
        <v>57</v>
      </c>
      <c r="D13" s="13" t="s">
        <v>58</v>
      </c>
      <c r="E13" s="13" t="s">
        <v>186</v>
      </c>
      <c r="F13" s="13" t="s">
        <v>60</v>
      </c>
      <c r="G13" s="13" t="s">
        <v>187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185</v>
      </c>
    </row>
    <row r="14" spans="1:16">
      <c r="B14" s="11" t="s">
        <v>180</v>
      </c>
      <c r="C14" s="12">
        <v>10</v>
      </c>
      <c r="D14" s="41">
        <v>12</v>
      </c>
      <c r="E14" s="12">
        <f>12-7</f>
        <v>5</v>
      </c>
      <c r="F14" s="12">
        <v>5</v>
      </c>
      <c r="G14" s="12">
        <v>1</v>
      </c>
      <c r="H14" s="32">
        <f>(C14)*(D3)</f>
        <v>2.2984020708901438</v>
      </c>
      <c r="I14" s="32">
        <f>(D14)*(D3)</f>
        <v>2.7580824850681727</v>
      </c>
      <c r="J14" s="32">
        <f>(E14)*(D3)</f>
        <v>1.1492010354450719</v>
      </c>
      <c r="K14" s="32">
        <f>(F14)*(D3)</f>
        <v>1.1492010354450719</v>
      </c>
      <c r="L14" s="32">
        <f>(G14)*(D3)</f>
        <v>0.2298402070890144</v>
      </c>
    </row>
    <row r="15" spans="1:16">
      <c r="B15" s="11" t="s">
        <v>181</v>
      </c>
      <c r="C15" s="12">
        <v>10</v>
      </c>
      <c r="D15" s="41">
        <v>13</v>
      </c>
      <c r="E15" s="12">
        <f>14-7</f>
        <v>7</v>
      </c>
      <c r="F15" s="12">
        <v>2</v>
      </c>
      <c r="G15" s="12">
        <v>1</v>
      </c>
      <c r="H15" s="32">
        <f>(C15)*(D4)</f>
        <v>2.2984020708901438</v>
      </c>
      <c r="I15" s="32">
        <f>(D15)*(D4)</f>
        <v>2.9879226921571873</v>
      </c>
      <c r="J15" s="32">
        <f>(E15)*(D4)</f>
        <v>1.6088814496231008</v>
      </c>
      <c r="K15" s="32">
        <f>(F15)*(D4)</f>
        <v>0.4596804141780288</v>
      </c>
      <c r="L15" s="32">
        <f>(G15)*(D4)</f>
        <v>0.2298402070890144</v>
      </c>
    </row>
    <row r="16" spans="1:16">
      <c r="B16" s="11" t="s">
        <v>182</v>
      </c>
      <c r="C16" s="12">
        <v>10</v>
      </c>
      <c r="D16" s="41">
        <v>12</v>
      </c>
      <c r="E16" s="12">
        <f>13-7</f>
        <v>6</v>
      </c>
      <c r="F16" s="12">
        <v>5</v>
      </c>
      <c r="G16" s="12">
        <v>1</v>
      </c>
      <c r="H16" s="32">
        <f>(C16)*(D5)</f>
        <v>2.7015979291098557</v>
      </c>
      <c r="I16" s="32">
        <f>(D16)*(D5)</f>
        <v>3.2419175149318269</v>
      </c>
      <c r="J16" s="32">
        <f>(E16)*(D5)</f>
        <v>1.6209587574659134</v>
      </c>
      <c r="K16" s="32">
        <f>(F16)*(D5)</f>
        <v>1.3507989645549279</v>
      </c>
      <c r="L16" s="32">
        <f>(G16)*(D5)</f>
        <v>0.27015979291098557</v>
      </c>
    </row>
    <row r="17" spans="2:12">
      <c r="B17" s="11" t="s">
        <v>183</v>
      </c>
      <c r="C17" s="12">
        <v>9</v>
      </c>
      <c r="D17" s="41">
        <v>12</v>
      </c>
      <c r="E17" s="12">
        <f>13-7</f>
        <v>6</v>
      </c>
      <c r="F17" s="12">
        <v>3</v>
      </c>
      <c r="G17" s="12">
        <v>1</v>
      </c>
      <c r="H17" s="32">
        <f>(C17)*(D6)</f>
        <v>2.4314381361988699</v>
      </c>
      <c r="I17" s="32">
        <f>(D17)*(D6)</f>
        <v>3.2419175149318269</v>
      </c>
      <c r="J17" s="32">
        <f>(E17)*(D6)</f>
        <v>1.6209587574659134</v>
      </c>
      <c r="K17" s="32">
        <f>(F17)*(D6)</f>
        <v>0.81047937873295672</v>
      </c>
      <c r="L17" s="32">
        <f>(G17)*(D6)</f>
        <v>0.27015979291098557</v>
      </c>
    </row>
    <row r="18" spans="2:12" ht="30">
      <c r="B18" s="13" t="s">
        <v>250</v>
      </c>
      <c r="C18" s="11">
        <f>SUM(C14:C17)</f>
        <v>39</v>
      </c>
      <c r="D18" s="11">
        <f>SUM(F14:F17)</f>
        <v>15</v>
      </c>
      <c r="E18" s="11">
        <f>SUM(E14:E17)</f>
        <v>24</v>
      </c>
      <c r="F18" s="11">
        <f>SUM(D14:D17)</f>
        <v>49</v>
      </c>
      <c r="G18" s="11">
        <f t="shared" ref="G18:L18" si="4">SUM(G14:G17)</f>
        <v>4</v>
      </c>
      <c r="H18" s="11">
        <f t="shared" si="4"/>
        <v>9.729840207089012</v>
      </c>
      <c r="I18" s="11">
        <f t="shared" si="4"/>
        <v>12.229840207089016</v>
      </c>
      <c r="J18" s="11">
        <f t="shared" si="4"/>
        <v>6</v>
      </c>
      <c r="K18" s="11">
        <f t="shared" si="4"/>
        <v>3.7701597929109854</v>
      </c>
      <c r="L18" s="11">
        <f t="shared" si="4"/>
        <v>1</v>
      </c>
    </row>
    <row r="19" spans="2:12">
      <c r="C19" s="32"/>
      <c r="D19" s="32"/>
      <c r="E19" s="32"/>
      <c r="F19" s="32"/>
      <c r="G19" s="32" t="s">
        <v>62</v>
      </c>
      <c r="H19" s="32">
        <f>(H18)/($H$18)</f>
        <v>1</v>
      </c>
      <c r="I19" s="32">
        <f>(I18)/($H$18)</f>
        <v>1.2569415269716908</v>
      </c>
      <c r="J19" s="32">
        <f>(J18)/($H$18)</f>
        <v>0.61665966473205713</v>
      </c>
      <c r="K19" s="32">
        <f>(K18)/($H$18)</f>
        <v>0.38748424564712841</v>
      </c>
      <c r="L19" s="32">
        <f>(L18)/($H$18)</f>
        <v>0.1027766107886762</v>
      </c>
    </row>
    <row r="20" spans="2:12">
      <c r="B20" s="11"/>
      <c r="C20" s="12"/>
      <c r="D20" s="12"/>
      <c r="E20" s="12"/>
      <c r="F20" s="41"/>
      <c r="G20" s="12"/>
      <c r="H20" s="32"/>
      <c r="I20" s="32"/>
      <c r="J20" s="32"/>
      <c r="K20" s="32"/>
      <c r="L20" s="32"/>
    </row>
    <row r="21" spans="2:12">
      <c r="B21" s="11"/>
      <c r="C21" s="12"/>
      <c r="D21" s="12"/>
      <c r="E21" s="12"/>
      <c r="F21" s="41"/>
      <c r="G21" s="12"/>
      <c r="H21" s="32"/>
      <c r="I21" s="32"/>
      <c r="J21" s="32"/>
      <c r="K21" s="32"/>
      <c r="L21" s="32"/>
    </row>
    <row r="22" spans="2:12">
      <c r="B22" s="11"/>
      <c r="C22" s="12"/>
      <c r="D22" s="12"/>
      <c r="E22" s="12"/>
      <c r="F22" s="41"/>
      <c r="G22" s="12"/>
      <c r="H22" s="32"/>
      <c r="I22" s="32"/>
      <c r="J22" s="32"/>
      <c r="K22" s="32"/>
      <c r="L22" s="32"/>
    </row>
    <row r="23" spans="2:12">
      <c r="B23" s="11"/>
      <c r="C23" s="12"/>
      <c r="D23" s="12"/>
      <c r="E23" s="12"/>
      <c r="F23" s="41"/>
      <c r="G23" s="12"/>
      <c r="H23" s="32"/>
      <c r="I23" s="32"/>
      <c r="J23" s="32"/>
      <c r="K23" s="32"/>
      <c r="L23" s="32"/>
    </row>
    <row r="24" spans="2:12">
      <c r="B24" s="11"/>
      <c r="C24" s="12"/>
      <c r="D24" s="12"/>
      <c r="E24" s="12"/>
      <c r="H24" s="32"/>
      <c r="I24" s="32"/>
      <c r="J24" s="32"/>
      <c r="K24" s="32"/>
      <c r="L24" s="32"/>
    </row>
    <row r="25" spans="2:12">
      <c r="B25" s="11"/>
      <c r="C25" s="12"/>
      <c r="D25" s="12"/>
      <c r="E25" s="12"/>
      <c r="H25" s="32"/>
      <c r="I25" s="32"/>
      <c r="J25" s="32"/>
      <c r="K25" s="32"/>
      <c r="L25" s="32"/>
    </row>
    <row r="26" spans="2:12">
      <c r="B26" s="11"/>
      <c r="C26" s="12"/>
      <c r="D26" s="12"/>
      <c r="E26" s="12"/>
      <c r="H26" s="32"/>
      <c r="I26" s="32"/>
      <c r="J26" s="32"/>
      <c r="K26" s="32"/>
      <c r="L26" s="32"/>
    </row>
    <row r="27" spans="2:12">
      <c r="B27" s="11"/>
      <c r="C27" s="12"/>
      <c r="D27" s="12"/>
      <c r="E27" s="12"/>
      <c r="H27" s="32"/>
      <c r="I27" s="32"/>
      <c r="J27" s="32"/>
      <c r="K27" s="32"/>
      <c r="L27" s="32"/>
    </row>
    <row r="28" spans="2:12">
      <c r="B28" s="11"/>
      <c r="C28" s="12"/>
      <c r="D28" s="12"/>
      <c r="E28" s="12"/>
      <c r="F28" s="41"/>
      <c r="G28" s="12"/>
      <c r="H28" s="32"/>
      <c r="I28" s="32"/>
      <c r="J28" s="32"/>
      <c r="K28" s="32"/>
      <c r="L28" s="32"/>
    </row>
    <row r="29" spans="2:12">
      <c r="B29" s="11"/>
      <c r="C29" s="12"/>
      <c r="D29" s="12"/>
      <c r="E29" s="12"/>
      <c r="F29" s="41"/>
      <c r="G29" s="12"/>
      <c r="H29" s="32"/>
      <c r="I29" s="32"/>
      <c r="J29" s="32"/>
      <c r="K29" s="32"/>
      <c r="L29" s="32"/>
    </row>
    <row r="30" spans="2:12">
      <c r="B30" s="11"/>
      <c r="C30" s="12"/>
      <c r="D30" s="12"/>
      <c r="E30" s="12"/>
      <c r="F30" s="41"/>
      <c r="G30" s="12"/>
      <c r="H30" s="32"/>
      <c r="I30" s="32"/>
      <c r="J30" s="32"/>
      <c r="K30" s="32"/>
      <c r="L30" s="32"/>
    </row>
    <row r="31" spans="2:12">
      <c r="B31" s="11"/>
      <c r="C31" s="12"/>
      <c r="D31" s="12"/>
      <c r="E31" s="12"/>
      <c r="F31" s="41"/>
      <c r="G31" s="12"/>
      <c r="H31" s="32"/>
      <c r="I31" s="32"/>
      <c r="J31" s="32"/>
      <c r="K31" s="32"/>
      <c r="L31" s="32"/>
    </row>
    <row r="32" spans="2:12">
      <c r="B32" s="11"/>
      <c r="C32" s="12"/>
      <c r="D32" s="12"/>
      <c r="E32" s="12"/>
      <c r="F32" s="41"/>
      <c r="G32" s="12"/>
      <c r="H32" s="32"/>
      <c r="I32" s="32"/>
      <c r="J32" s="32"/>
      <c r="K32" s="32"/>
      <c r="L32" s="32"/>
    </row>
    <row r="33" spans="2:12">
      <c r="B33" s="11"/>
      <c r="C33" s="12"/>
      <c r="D33" s="12"/>
      <c r="E33" s="12"/>
      <c r="F33" s="41"/>
      <c r="G33" s="12"/>
      <c r="H33" s="32"/>
      <c r="I33" s="32"/>
      <c r="J33" s="32"/>
      <c r="K33" s="32"/>
      <c r="L33" s="32"/>
    </row>
    <row r="36" spans="2:12">
      <c r="C36" s="19"/>
      <c r="D36" s="19"/>
      <c r="E36" s="19"/>
      <c r="F36" s="19"/>
      <c r="G36" s="19"/>
      <c r="H36" s="19"/>
      <c r="I36" s="19"/>
      <c r="J36" s="19"/>
    </row>
    <row r="37" spans="2:12">
      <c r="C37" s="19"/>
      <c r="D37" s="19"/>
      <c r="E37" s="19"/>
      <c r="F37" s="19"/>
      <c r="G37" s="19"/>
      <c r="H37" s="19"/>
      <c r="I37" s="19"/>
      <c r="J37" s="19"/>
    </row>
    <row r="38" spans="2:12">
      <c r="C38" s="19"/>
      <c r="D38" s="19"/>
      <c r="E38" s="19"/>
      <c r="F38" s="19"/>
      <c r="G38" s="19"/>
      <c r="H38" s="19"/>
      <c r="I38" s="19"/>
      <c r="J38" s="19"/>
    </row>
    <row r="39" spans="2:12">
      <c r="C39" s="19"/>
      <c r="D39" s="19"/>
      <c r="E39" s="19"/>
      <c r="F39" s="19"/>
      <c r="G39" s="19"/>
      <c r="H39" s="19"/>
      <c r="I39" s="19"/>
      <c r="J39" s="19"/>
    </row>
    <row r="40" spans="2:12">
      <c r="C40" s="19"/>
      <c r="D40" s="19"/>
      <c r="E40" s="19"/>
      <c r="F40" s="19"/>
      <c r="G40" s="19"/>
      <c r="H40" s="19"/>
      <c r="I40" s="19"/>
      <c r="J40" s="19"/>
    </row>
    <row r="41" spans="2:12">
      <c r="C41" s="19"/>
      <c r="D41" s="19"/>
      <c r="E41" s="19"/>
      <c r="F41" s="19"/>
      <c r="G41" s="19"/>
      <c r="H41" s="19"/>
      <c r="I41" s="19"/>
      <c r="J41" s="19"/>
    </row>
    <row r="42" spans="2:12">
      <c r="C42" s="19"/>
      <c r="D42" s="19"/>
      <c r="E42" s="19"/>
      <c r="F42" s="19"/>
      <c r="G42" s="19"/>
      <c r="H42" s="19"/>
      <c r="I42" s="19"/>
      <c r="J42" s="19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topLeftCell="D1" zoomScale="85" zoomScaleNormal="85" workbookViewId="0">
      <selection activeCell="J5" sqref="J5"/>
    </sheetView>
  </sheetViews>
  <sheetFormatPr baseColWidth="10" defaultRowHeight="15"/>
  <cols>
    <col min="1" max="1" width="22.42578125" customWidth="1"/>
    <col min="3" max="3" width="17.28515625" customWidth="1"/>
    <col min="4" max="4" width="17.7109375" customWidth="1"/>
    <col min="5" max="5" width="26.28515625" customWidth="1"/>
    <col min="6" max="6" width="33.140625" customWidth="1"/>
    <col min="7" max="7" width="31.5703125" customWidth="1"/>
    <col min="8" max="8" width="16.7109375" customWidth="1"/>
    <col min="12" max="12" width="21.85546875" customWidth="1"/>
  </cols>
  <sheetData>
    <row r="1" spans="1:13" ht="60">
      <c r="A1" s="1" t="s">
        <v>45</v>
      </c>
      <c r="B1" s="9" t="s">
        <v>69</v>
      </c>
      <c r="C1" s="9"/>
      <c r="D1" s="10">
        <f>(19667013-22900)</f>
        <v>19644113</v>
      </c>
    </row>
    <row r="2" spans="1:13" ht="62.25" customHeight="1">
      <c r="A2" s="3" t="s">
        <v>64</v>
      </c>
      <c r="B2" s="4" t="s">
        <v>65</v>
      </c>
      <c r="C2" s="16" t="s">
        <v>1</v>
      </c>
      <c r="D2" s="6" t="s">
        <v>46</v>
      </c>
      <c r="E2" s="7" t="s">
        <v>47</v>
      </c>
      <c r="F2" s="8" t="s">
        <v>66</v>
      </c>
      <c r="G2" s="6" t="s">
        <v>88</v>
      </c>
      <c r="H2" s="14" t="s">
        <v>248</v>
      </c>
      <c r="I2" s="11" t="s">
        <v>220</v>
      </c>
      <c r="J2" s="11" t="s">
        <v>256</v>
      </c>
      <c r="L2" s="12" t="s">
        <v>235</v>
      </c>
      <c r="M2" s="46">
        <v>0.30696051374298999</v>
      </c>
    </row>
    <row r="3" spans="1:13">
      <c r="A3" t="s">
        <v>77</v>
      </c>
      <c r="B3" t="s">
        <v>2</v>
      </c>
      <c r="C3" s="19">
        <f>9030014/2</f>
        <v>4515007</v>
      </c>
      <c r="D3" s="19">
        <f>(C3)/($D$1)</f>
        <v>0.2298402070890144</v>
      </c>
      <c r="E3" s="20">
        <v>507.18</v>
      </c>
      <c r="F3" s="19">
        <f>(E3)-173.943</f>
        <v>333.23699999999997</v>
      </c>
      <c r="G3" s="31">
        <f>(D3)*(F3)</f>
        <v>76.591261089721883</v>
      </c>
      <c r="H3" s="19">
        <f>(G3)*1/($G$7)</f>
        <v>0.23510492852324549</v>
      </c>
      <c r="I3" s="43">
        <f>((H3)*('Elemental Equation'!$E$4)*1000)/(F3)</f>
        <v>7.0551868046839203E-2</v>
      </c>
      <c r="J3">
        <f>((H3)*('Elemental Equation'!$E$4))</f>
        <v>2.3510492852324552E-2</v>
      </c>
      <c r="L3" s="11" t="s">
        <v>233</v>
      </c>
      <c r="M3" s="11">
        <f>'Elemental Equation'!B4</f>
        <v>0.1</v>
      </c>
    </row>
    <row r="4" spans="1:13">
      <c r="A4" t="s">
        <v>76</v>
      </c>
      <c r="B4" t="s">
        <v>68</v>
      </c>
      <c r="C4" s="19">
        <f>9030014/2</f>
        <v>4515007</v>
      </c>
      <c r="D4" s="19">
        <f>(C4)/($D$1)</f>
        <v>0.2298402070890144</v>
      </c>
      <c r="E4" s="20">
        <v>484.14</v>
      </c>
      <c r="F4" s="19">
        <f t="shared" ref="F4:F6" si="0">(E4)-173.943</f>
        <v>310.197</v>
      </c>
      <c r="G4" s="31">
        <f>(D4)*(F4)</f>
        <v>71.295742718390997</v>
      </c>
      <c r="H4" s="19">
        <f>(G4)*1/($G$7)</f>
        <v>0.21884977812525375</v>
      </c>
      <c r="I4" s="43">
        <f>((H4)*('Elemental Equation'!$E$4)*1000)/(F4)</f>
        <v>7.0551868046839189E-2</v>
      </c>
      <c r="J4">
        <f>((H4)*('Elemental Equation'!$E$4))</f>
        <v>2.1884977812525377E-2</v>
      </c>
      <c r="L4" s="11" t="s">
        <v>232</v>
      </c>
      <c r="M4" s="48">
        <v>0.40600000000000003</v>
      </c>
    </row>
    <row r="5" spans="1:13">
      <c r="A5" s="22" t="s">
        <v>75</v>
      </c>
      <c r="B5" t="s">
        <v>9</v>
      </c>
      <c r="C5" s="2">
        <f>10614099/2</f>
        <v>5307049.5</v>
      </c>
      <c r="D5" s="19">
        <f>(C5)/($D$1)</f>
        <v>0.27015979291098557</v>
      </c>
      <c r="E5" s="20">
        <v>523.17999999999995</v>
      </c>
      <c r="F5" s="19">
        <f t="shared" si="0"/>
        <v>349.23699999999997</v>
      </c>
      <c r="G5" s="31">
        <f>(D5)*(F5)</f>
        <v>94.349795596853866</v>
      </c>
      <c r="H5" s="19">
        <f>(G5)*1/($G$7)</f>
        <v>0.28961661727956406</v>
      </c>
      <c r="I5" s="43">
        <f>((H5)*('Elemental Equation'!$E$4)*1000)/(F5)</f>
        <v>8.2928388824656071E-2</v>
      </c>
      <c r="J5">
        <f>((H5)*('Elemental Equation'!$E$4))</f>
        <v>2.8961661727956407E-2</v>
      </c>
      <c r="L5" s="11" t="s">
        <v>234</v>
      </c>
      <c r="M5" s="11">
        <f>((M2)*(M4))</f>
        <v>0.12462596857965394</v>
      </c>
    </row>
    <row r="6" spans="1:13">
      <c r="A6" s="22" t="s">
        <v>74</v>
      </c>
      <c r="B6" t="s">
        <v>6</v>
      </c>
      <c r="C6" s="2">
        <f>10614099/2</f>
        <v>5307049.5</v>
      </c>
      <c r="D6" s="19">
        <f>(C6)/($D$1)</f>
        <v>0.27015979291098557</v>
      </c>
      <c r="E6" s="20">
        <v>483.16</v>
      </c>
      <c r="F6" s="19">
        <f t="shared" si="0"/>
        <v>309.21699999999998</v>
      </c>
      <c r="G6" s="31">
        <f>(D6)*(F6)</f>
        <v>83.538000684556224</v>
      </c>
      <c r="H6" s="19">
        <f>(G6)*1/($G$7)</f>
        <v>0.2564286760719367</v>
      </c>
      <c r="I6" s="43">
        <f>((H6)*('Elemental Equation'!$E$4)*1000)/(F6)</f>
        <v>8.2928388824656044E-2</v>
      </c>
      <c r="J6">
        <f>((H6)*('Elemental Equation'!$E$4))</f>
        <v>2.564286760719367E-2</v>
      </c>
    </row>
    <row r="7" spans="1:13" ht="30">
      <c r="C7" s="19"/>
      <c r="D7" s="19"/>
      <c r="E7" s="19"/>
      <c r="F7" s="12" t="s">
        <v>91</v>
      </c>
      <c r="G7" s="11">
        <f>SUM(G3:G6)</f>
        <v>325.77480008952296</v>
      </c>
      <c r="H7" s="43">
        <f>SUM(H3:H6)</f>
        <v>1</v>
      </c>
      <c r="I7" s="43">
        <f>SUM(I3:I6)</f>
        <v>0.30696051374299049</v>
      </c>
    </row>
    <row r="9" spans="1:13" ht="45">
      <c r="B9" s="13" t="s">
        <v>57</v>
      </c>
      <c r="C9" s="13" t="s">
        <v>58</v>
      </c>
      <c r="D9" s="13" t="s">
        <v>59</v>
      </c>
      <c r="E9" s="13" t="s">
        <v>60</v>
      </c>
      <c r="F9" s="13" t="s">
        <v>184</v>
      </c>
      <c r="G9" s="13" t="s">
        <v>52</v>
      </c>
      <c r="H9" s="13" t="s">
        <v>53</v>
      </c>
      <c r="I9" s="13" t="s">
        <v>54</v>
      </c>
      <c r="J9" s="13" t="s">
        <v>55</v>
      </c>
      <c r="K9" s="13" t="s">
        <v>185</v>
      </c>
    </row>
    <row r="10" spans="1:13">
      <c r="A10" s="11" t="s">
        <v>189</v>
      </c>
      <c r="B10">
        <v>10</v>
      </c>
      <c r="C10">
        <v>12</v>
      </c>
      <c r="D10">
        <v>7</v>
      </c>
      <c r="E10">
        <v>5</v>
      </c>
      <c r="F10">
        <v>1</v>
      </c>
      <c r="G10" s="32">
        <f>(B10)*(D3)</f>
        <v>2.2984020708901438</v>
      </c>
      <c r="H10" s="32">
        <f>(C10)*(D3)</f>
        <v>2.7580824850681727</v>
      </c>
      <c r="I10" s="32">
        <f>(D10)*(D3)</f>
        <v>1.6088814496231008</v>
      </c>
      <c r="J10" s="32">
        <f>(E10)*(D3)</f>
        <v>1.1492010354450719</v>
      </c>
      <c r="K10" s="32">
        <f>(F10)*(D3)</f>
        <v>0.2298402070890144</v>
      </c>
    </row>
    <row r="11" spans="1:13">
      <c r="A11" s="11" t="s">
        <v>188</v>
      </c>
      <c r="B11">
        <v>9</v>
      </c>
      <c r="C11">
        <v>11</v>
      </c>
      <c r="D11">
        <v>9</v>
      </c>
      <c r="E11">
        <v>2</v>
      </c>
      <c r="F11">
        <v>1</v>
      </c>
      <c r="G11" s="32">
        <f>(B11)*(D4)</f>
        <v>2.0685618638011296</v>
      </c>
      <c r="H11" s="32">
        <f>(C11)*(D4)</f>
        <v>2.5282422779791585</v>
      </c>
      <c r="I11" s="32">
        <f>(D11)*(D4)</f>
        <v>2.0685618638011296</v>
      </c>
      <c r="J11" s="32">
        <f>(E11)*(D4)</f>
        <v>0.4596804141780288</v>
      </c>
      <c r="K11" s="32">
        <f>(F11)*(D4)</f>
        <v>0.2298402070890144</v>
      </c>
    </row>
    <row r="12" spans="1:13">
      <c r="A12" s="11" t="s">
        <v>190</v>
      </c>
      <c r="B12">
        <v>10</v>
      </c>
      <c r="C12">
        <v>12</v>
      </c>
      <c r="D12">
        <v>8</v>
      </c>
      <c r="E12">
        <v>5</v>
      </c>
      <c r="F12">
        <v>1</v>
      </c>
      <c r="G12" s="32">
        <f>(B12)*(D5)</f>
        <v>2.7015979291098557</v>
      </c>
      <c r="H12" s="32">
        <f>(C12)*(D5)</f>
        <v>3.2419175149318269</v>
      </c>
      <c r="I12" s="32">
        <f>(D12)*(D5)</f>
        <v>2.1612783432878846</v>
      </c>
      <c r="J12" s="32">
        <f>(E12)*(D5)</f>
        <v>1.3507989645549279</v>
      </c>
      <c r="K12" s="32">
        <f>(F12)*(D5)</f>
        <v>0.27015979291098557</v>
      </c>
    </row>
    <row r="13" spans="1:13">
      <c r="A13" s="11" t="s">
        <v>191</v>
      </c>
      <c r="B13">
        <v>9</v>
      </c>
      <c r="C13">
        <v>12</v>
      </c>
      <c r="D13">
        <v>8</v>
      </c>
      <c r="E13">
        <v>3</v>
      </c>
      <c r="F13">
        <v>1</v>
      </c>
      <c r="G13" s="32">
        <f>(B13)*(D6)</f>
        <v>2.4314381361988699</v>
      </c>
      <c r="H13" s="32">
        <f>(C13)*(D6)</f>
        <v>3.2419175149318269</v>
      </c>
      <c r="I13" s="32">
        <f>(D13)*(D6)</f>
        <v>2.1612783432878846</v>
      </c>
      <c r="J13" s="32">
        <f>(E13)*(D6)</f>
        <v>0.81047937873295672</v>
      </c>
      <c r="K13" s="32">
        <f>(F13)*(D6)</f>
        <v>0.27015979291098557</v>
      </c>
    </row>
    <row r="14" spans="1:13" ht="45">
      <c r="A14" s="13" t="s">
        <v>250</v>
      </c>
      <c r="B14" s="11">
        <f t="shared" ref="B14:K14" si="1">SUM(B10:B13)</f>
        <v>38</v>
      </c>
      <c r="C14" s="11">
        <f t="shared" si="1"/>
        <v>47</v>
      </c>
      <c r="D14" s="11">
        <f t="shared" si="1"/>
        <v>32</v>
      </c>
      <c r="E14" s="11">
        <f t="shared" si="1"/>
        <v>15</v>
      </c>
      <c r="F14" s="11">
        <f t="shared" si="1"/>
        <v>4</v>
      </c>
      <c r="G14" s="11">
        <f t="shared" si="1"/>
        <v>9.5</v>
      </c>
      <c r="H14" s="11">
        <f t="shared" si="1"/>
        <v>11.770159792910984</v>
      </c>
      <c r="I14" s="11">
        <f t="shared" si="1"/>
        <v>8</v>
      </c>
      <c r="J14" s="11">
        <f t="shared" si="1"/>
        <v>3.7701597929109854</v>
      </c>
      <c r="K14" s="11">
        <f t="shared" si="1"/>
        <v>1</v>
      </c>
    </row>
    <row r="15" spans="1:13">
      <c r="B15" s="32"/>
      <c r="C15" s="32"/>
      <c r="D15" s="32"/>
      <c r="E15" s="32"/>
      <c r="F15" s="32" t="s">
        <v>62</v>
      </c>
      <c r="G15" s="32">
        <f>(G14)/($G$14)</f>
        <v>1</v>
      </c>
      <c r="H15" s="32">
        <f>(H14)/($G$14)</f>
        <v>1.238964188727472</v>
      </c>
      <c r="I15" s="32">
        <f>(I14)/($G$14)</f>
        <v>0.84210526315789469</v>
      </c>
      <c r="J15" s="32">
        <f>(J14)/($G$14)</f>
        <v>0.39685892556957741</v>
      </c>
      <c r="K15" s="32">
        <f>(K14)/($G$14)</f>
        <v>0.10526315789473684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8"/>
  <sheetViews>
    <sheetView topLeftCell="A22" zoomScale="55" zoomScaleNormal="55" workbookViewId="0">
      <selection activeCell="N19" sqref="N19"/>
    </sheetView>
  </sheetViews>
  <sheetFormatPr baseColWidth="10" defaultRowHeight="15"/>
  <cols>
    <col min="1" max="1" width="27.7109375" customWidth="1"/>
    <col min="2" max="2" width="14.85546875" customWidth="1"/>
    <col min="3" max="3" width="34.42578125" customWidth="1"/>
    <col min="4" max="4" width="16.85546875" customWidth="1"/>
    <col min="5" max="5" width="32.140625" customWidth="1"/>
    <col min="6" max="6" width="19.85546875" customWidth="1"/>
    <col min="7" max="7" width="24.28515625" customWidth="1"/>
    <col min="8" max="8" width="23.42578125" customWidth="1"/>
    <col min="9" max="9" width="20" customWidth="1"/>
    <col min="10" max="10" width="29.85546875" customWidth="1"/>
    <col min="11" max="11" width="22.85546875" customWidth="1"/>
  </cols>
  <sheetData>
    <row r="1" spans="1:11" ht="75" customHeight="1">
      <c r="A1" s="15" t="s">
        <v>70</v>
      </c>
      <c r="B1" s="65" t="s">
        <v>72</v>
      </c>
      <c r="C1" s="65"/>
      <c r="D1" s="23">
        <f>SUM(C3:C7)</f>
        <v>546.79999999999995</v>
      </c>
    </row>
    <row r="2" spans="1:11" ht="76.5" customHeight="1">
      <c r="A2" s="15" t="s">
        <v>159</v>
      </c>
      <c r="B2" s="4" t="s">
        <v>83</v>
      </c>
      <c r="C2" s="21" t="s">
        <v>71</v>
      </c>
      <c r="D2" s="6" t="s">
        <v>73</v>
      </c>
      <c r="E2" s="4" t="s">
        <v>261</v>
      </c>
      <c r="F2" s="8" t="s">
        <v>262</v>
      </c>
      <c r="G2" s="6" t="s">
        <v>263</v>
      </c>
      <c r="H2" s="6" t="s">
        <v>264</v>
      </c>
      <c r="I2" s="14" t="s">
        <v>265</v>
      </c>
      <c r="J2" s="11" t="s">
        <v>221</v>
      </c>
      <c r="K2" s="64" t="s">
        <v>257</v>
      </c>
    </row>
    <row r="3" spans="1:11" ht="49.5" customHeight="1">
      <c r="A3" t="s">
        <v>146</v>
      </c>
      <c r="B3" s="11" t="s">
        <v>82</v>
      </c>
      <c r="C3" s="27">
        <v>125.3</v>
      </c>
      <c r="D3" s="27">
        <f>(C3)/($D$1)</f>
        <v>0.22915142648134604</v>
      </c>
      <c r="E3" s="20">
        <f>269.147  +2*(H59)</f>
        <v>802.21453109072377</v>
      </c>
      <c r="F3" s="27">
        <v>125.3</v>
      </c>
      <c r="G3" s="11">
        <f>(F3)/($F$10)</f>
        <v>0.30047961630695441</v>
      </c>
      <c r="H3" s="11">
        <f>(E3)* (G3)</f>
        <v>241.04911449800403</v>
      </c>
      <c r="I3" s="31">
        <f>(H3)*1/($H$10)</f>
        <v>0.41266409953613375</v>
      </c>
      <c r="J3" s="43">
        <f>((I3)*('Elemental Equation'!$E$5)*1000)/(E3)</f>
        <v>0.20632831232674889</v>
      </c>
      <c r="K3">
        <f>(I3)*('Elemental Equation'!$E$5)</f>
        <v>0.16551957032394327</v>
      </c>
    </row>
    <row r="4" spans="1:11" ht="49.5" customHeight="1">
      <c r="A4" t="s">
        <v>147</v>
      </c>
      <c r="B4" s="11" t="s">
        <v>84</v>
      </c>
      <c r="C4" s="27">
        <v>79.099999999999994</v>
      </c>
      <c r="D4" s="27">
        <f>(C4)/($D$1)</f>
        <v>0.14465983906364302</v>
      </c>
      <c r="E4" s="20">
        <f>311.228+ 2*(H59)</f>
        <v>844.29553109072367</v>
      </c>
      <c r="F4" s="27">
        <v>79.099999999999994</v>
      </c>
      <c r="G4" s="11">
        <f>(F4)/($F$10)</f>
        <v>0.1896882494004796</v>
      </c>
      <c r="H4" s="11">
        <f>(E4)* (G4)</f>
        <v>160.15294126924758</v>
      </c>
      <c r="I4" s="31">
        <f t="shared" ref="I4:I6" si="0">(H4)*1/($H$10)</f>
        <v>0.2741738729659785</v>
      </c>
      <c r="J4" s="43">
        <f>((I4)*('Elemental Equation'!$E$5)*1000)/(E4)</f>
        <v>0.13025195135710965</v>
      </c>
      <c r="K4">
        <f>(I4)*('Elemental Equation'!$E$5)</f>
        <v>0.10997114044665399</v>
      </c>
    </row>
    <row r="5" spans="1:11">
      <c r="B5" s="11" t="s">
        <v>85</v>
      </c>
      <c r="C5" s="12">
        <v>146.6</v>
      </c>
      <c r="D5" s="27">
        <f>(C5)/($D$1)</f>
        <v>0.26810534016093635</v>
      </c>
      <c r="E5" s="20">
        <f>(H27)</f>
        <v>396.65</v>
      </c>
      <c r="F5" s="12">
        <v>146.6</v>
      </c>
      <c r="G5" s="11">
        <f>(F5)/($F$10)</f>
        <v>0.35155875299760192</v>
      </c>
      <c r="H5" s="11">
        <f>(E5)* (G5)</f>
        <v>139.44577937649879</v>
      </c>
      <c r="I5" s="31">
        <f t="shared" si="0"/>
        <v>0.23872424132466055</v>
      </c>
      <c r="J5" s="43">
        <f>((I5)*('Elemental Equation'!$E$5)*1000)/(E5)</f>
        <v>0.24140247874781634</v>
      </c>
      <c r="K5">
        <f>(I5)*('Elemental Equation'!$E$5)</f>
        <v>9.5752293195321345E-2</v>
      </c>
    </row>
    <row r="6" spans="1:11">
      <c r="B6" s="11" t="s">
        <v>86</v>
      </c>
      <c r="C6" s="27">
        <f>334.2 -(C3)-(C4)</f>
        <v>129.79999999999998</v>
      </c>
      <c r="D6" s="27">
        <f>(C6)/($D$1)</f>
        <v>0.23738112655449889</v>
      </c>
      <c r="E6" s="27">
        <f>(H59)</f>
        <v>266.53376554536186</v>
      </c>
      <c r="F6" s="27">
        <v>0</v>
      </c>
      <c r="G6" s="11">
        <f>(F6)/($F$10)</f>
        <v>0</v>
      </c>
      <c r="H6" s="11">
        <f t="shared" ref="H6" si="1">(E6)* (G6)</f>
        <v>0</v>
      </c>
      <c r="I6" s="31">
        <f t="shared" si="0"/>
        <v>0</v>
      </c>
      <c r="J6" s="43"/>
      <c r="K6">
        <f>(I6)*('Elemental Equation'!$E$5)</f>
        <v>0</v>
      </c>
    </row>
    <row r="7" spans="1:11">
      <c r="B7" s="11" t="s">
        <v>87</v>
      </c>
      <c r="C7" s="11">
        <v>66</v>
      </c>
      <c r="D7" s="27">
        <f>(C7)/($D$1)</f>
        <v>0.12070226773957572</v>
      </c>
      <c r="E7" s="27">
        <f>(H44)</f>
        <v>274.72262023939061</v>
      </c>
      <c r="F7" s="11">
        <v>66</v>
      </c>
      <c r="G7" s="11">
        <f>(F7)/($F$10)</f>
        <v>0.15827338129496402</v>
      </c>
      <c r="H7" s="11">
        <f>(E7)* (G7)</f>
        <v>43.481278023500671</v>
      </c>
      <c r="I7" s="31">
        <f>(H7)*1/($H$10)</f>
        <v>7.4437786173227216E-2</v>
      </c>
      <c r="J7" s="43">
        <f>((I7)*('Elemental Equation'!$E$5)*1000)/(E7)</f>
        <v>0.10868051567091323</v>
      </c>
      <c r="K7">
        <f>(I7)*('Elemental Equation'!$E$5)</f>
        <v>2.9856996034081436E-2</v>
      </c>
    </row>
    <row r="8" spans="1:11">
      <c r="C8" s="12"/>
      <c r="D8" s="27"/>
      <c r="E8" s="20"/>
      <c r="F8" s="12"/>
      <c r="G8" s="11"/>
      <c r="H8" s="27"/>
      <c r="I8" s="11"/>
    </row>
    <row r="9" spans="1:11">
      <c r="B9" s="11"/>
      <c r="C9" s="27"/>
      <c r="D9" s="27"/>
      <c r="E9" s="27"/>
      <c r="F9" s="27"/>
      <c r="G9" s="11"/>
      <c r="H9" s="27"/>
      <c r="I9" s="11"/>
    </row>
    <row r="10" spans="1:11" ht="46.5" customHeight="1">
      <c r="B10" s="11"/>
      <c r="C10" s="27"/>
      <c r="D10" s="11"/>
      <c r="E10" s="11" t="s">
        <v>102</v>
      </c>
      <c r="F10" s="27">
        <f>SUM(F3:F9)</f>
        <v>417</v>
      </c>
      <c r="G10" s="12" t="s">
        <v>92</v>
      </c>
      <c r="H10" s="11">
        <f>SUM(H3:H9)</f>
        <v>584.12911316725103</v>
      </c>
      <c r="I10" s="31">
        <f>SUM(I3:I7)</f>
        <v>1</v>
      </c>
      <c r="J10" s="60">
        <f>SUM(J3:J7)</f>
        <v>0.68666325810258799</v>
      </c>
      <c r="K10" s="60">
        <f>SUM(K3:K7)</f>
        <v>0.40110000000000007</v>
      </c>
    </row>
    <row r="15" spans="1:11" ht="75">
      <c r="A15" s="15" t="s">
        <v>158</v>
      </c>
      <c r="B15" s="4" t="s">
        <v>129</v>
      </c>
      <c r="C15" s="21" t="s">
        <v>71</v>
      </c>
      <c r="D15" s="6" t="s">
        <v>103</v>
      </c>
      <c r="E15" s="4" t="s">
        <v>47</v>
      </c>
      <c r="F15" s="8" t="s">
        <v>267</v>
      </c>
      <c r="G15" s="6" t="s">
        <v>268</v>
      </c>
      <c r="H15" s="6" t="s">
        <v>269</v>
      </c>
      <c r="I15" s="14" t="s">
        <v>270</v>
      </c>
      <c r="J15" s="30" t="s">
        <v>271</v>
      </c>
    </row>
    <row r="16" spans="1:11">
      <c r="A16" s="11" t="s">
        <v>122</v>
      </c>
      <c r="B16" s="24" t="s">
        <v>130</v>
      </c>
      <c r="C16" s="27">
        <v>69.099999999999994</v>
      </c>
      <c r="D16" s="11">
        <f t="shared" ref="D16:D25" si="2">(C16)/($C$26)</f>
        <v>0.72204806687565315</v>
      </c>
      <c r="E16" s="32">
        <v>396.65</v>
      </c>
      <c r="F16" s="27">
        <v>69.099999999999994</v>
      </c>
      <c r="G16" s="11">
        <f>(F16)/($F$26)</f>
        <v>1</v>
      </c>
      <c r="H16" s="11">
        <f>(E16)* (G16)</f>
        <v>396.65</v>
      </c>
      <c r="I16" s="31">
        <f t="shared" ref="I16:I24" si="3">(H16)*1/($H$44)</f>
        <v>1.4438199506628286</v>
      </c>
      <c r="J16" t="s">
        <v>132</v>
      </c>
    </row>
    <row r="17" spans="1:10">
      <c r="A17" t="s">
        <v>133</v>
      </c>
      <c r="B17" s="24"/>
      <c r="C17" s="27">
        <v>18.399999999999999</v>
      </c>
      <c r="D17" s="11">
        <f t="shared" si="2"/>
        <v>0.19226750261233019</v>
      </c>
      <c r="E17" s="26">
        <v>398.67099999999999</v>
      </c>
      <c r="F17" s="27">
        <v>0</v>
      </c>
      <c r="G17" s="11">
        <f t="shared" ref="G17:G22" si="4">(F17)/($F$43)</f>
        <v>0</v>
      </c>
      <c r="H17" s="11">
        <f t="shared" ref="H17:H22" si="5">(E17)* (G17)</f>
        <v>0</v>
      </c>
      <c r="I17" s="31">
        <f t="shared" si="3"/>
        <v>0</v>
      </c>
      <c r="J17" t="s">
        <v>118</v>
      </c>
    </row>
    <row r="18" spans="1:10">
      <c r="A18" s="11" t="s">
        <v>134</v>
      </c>
      <c r="B18" s="24" t="s">
        <v>137</v>
      </c>
      <c r="C18" s="12">
        <v>4.5</v>
      </c>
      <c r="D18" s="11">
        <f t="shared" si="2"/>
        <v>4.7021943573667714E-2</v>
      </c>
      <c r="E18" s="28">
        <v>0</v>
      </c>
      <c r="F18" s="12">
        <v>0</v>
      </c>
      <c r="G18" s="11">
        <f t="shared" si="4"/>
        <v>0</v>
      </c>
      <c r="H18" s="11">
        <f t="shared" si="5"/>
        <v>0</v>
      </c>
      <c r="I18" s="31">
        <f t="shared" si="3"/>
        <v>0</v>
      </c>
      <c r="J18" t="s">
        <v>118</v>
      </c>
    </row>
    <row r="19" spans="1:10">
      <c r="A19" s="11" t="s">
        <v>123</v>
      </c>
      <c r="B19" s="24"/>
      <c r="C19" s="12">
        <v>0.3</v>
      </c>
      <c r="D19" s="11">
        <f t="shared" si="2"/>
        <v>3.1347962382445144E-3</v>
      </c>
      <c r="E19" s="11">
        <v>412.37051615000001</v>
      </c>
      <c r="F19" s="12">
        <v>0</v>
      </c>
      <c r="G19" s="11">
        <f t="shared" si="4"/>
        <v>0</v>
      </c>
      <c r="H19" s="11">
        <f t="shared" si="5"/>
        <v>0</v>
      </c>
      <c r="I19" s="31">
        <f t="shared" si="3"/>
        <v>0</v>
      </c>
      <c r="J19" t="s">
        <v>118</v>
      </c>
    </row>
    <row r="20" spans="1:10">
      <c r="A20" s="11" t="s">
        <v>124</v>
      </c>
      <c r="B20" s="24"/>
      <c r="C20" s="27">
        <v>0</v>
      </c>
      <c r="D20" s="11">
        <f t="shared" si="2"/>
        <v>0</v>
      </c>
      <c r="E20" s="29">
        <v>426.7174</v>
      </c>
      <c r="F20" s="27">
        <v>0</v>
      </c>
      <c r="G20" s="11">
        <f t="shared" si="4"/>
        <v>0</v>
      </c>
      <c r="H20" s="11">
        <f t="shared" si="5"/>
        <v>0</v>
      </c>
      <c r="I20" s="31">
        <f t="shared" si="3"/>
        <v>0</v>
      </c>
      <c r="J20" t="s">
        <v>135</v>
      </c>
    </row>
    <row r="21" spans="1:10">
      <c r="A21" s="11" t="s">
        <v>125</v>
      </c>
      <c r="B21" s="24"/>
      <c r="C21" s="27">
        <v>1.3</v>
      </c>
      <c r="D21" s="11">
        <f t="shared" si="2"/>
        <v>1.3584117032392897E-2</v>
      </c>
      <c r="E21" s="11">
        <v>440.74400000000003</v>
      </c>
      <c r="F21" s="27">
        <v>0</v>
      </c>
      <c r="G21" s="11">
        <f t="shared" si="4"/>
        <v>0</v>
      </c>
      <c r="H21" s="11">
        <f t="shared" si="5"/>
        <v>0</v>
      </c>
      <c r="I21" s="27">
        <f t="shared" si="3"/>
        <v>0</v>
      </c>
      <c r="J21" t="s">
        <v>118</v>
      </c>
    </row>
    <row r="22" spans="1:10">
      <c r="A22" s="11" t="s">
        <v>126</v>
      </c>
      <c r="B22" s="24" t="s">
        <v>136</v>
      </c>
      <c r="C22" s="27">
        <v>1.1000000000000001</v>
      </c>
      <c r="D22" s="11">
        <f t="shared" si="2"/>
        <v>1.149425287356322E-2</v>
      </c>
      <c r="E22" s="11">
        <v>0</v>
      </c>
      <c r="F22" s="27">
        <v>0</v>
      </c>
      <c r="G22" s="11">
        <f t="shared" si="4"/>
        <v>0</v>
      </c>
      <c r="H22" s="11">
        <f t="shared" si="5"/>
        <v>0</v>
      </c>
      <c r="I22" s="27">
        <f t="shared" si="3"/>
        <v>0</v>
      </c>
      <c r="J22" t="s">
        <v>118</v>
      </c>
    </row>
    <row r="23" spans="1:10">
      <c r="A23" s="11" t="s">
        <v>127</v>
      </c>
      <c r="B23" s="24"/>
      <c r="C23" s="27">
        <v>0</v>
      </c>
      <c r="D23" s="11">
        <f t="shared" si="2"/>
        <v>0</v>
      </c>
      <c r="E23" s="11">
        <v>0</v>
      </c>
      <c r="F23" s="27">
        <v>0</v>
      </c>
      <c r="G23" s="11">
        <f>(F23)/($F$43)</f>
        <v>0</v>
      </c>
      <c r="H23" s="11">
        <f>(E23)* (G23)</f>
        <v>0</v>
      </c>
      <c r="I23" s="27">
        <f t="shared" si="3"/>
        <v>0</v>
      </c>
      <c r="J23" t="s">
        <v>118</v>
      </c>
    </row>
    <row r="24" spans="1:10">
      <c r="A24" s="11" t="s">
        <v>131</v>
      </c>
      <c r="C24" s="27">
        <v>0</v>
      </c>
      <c r="D24" s="11">
        <f t="shared" si="2"/>
        <v>0</v>
      </c>
      <c r="E24" s="11">
        <v>0</v>
      </c>
      <c r="F24" s="27">
        <v>0</v>
      </c>
      <c r="G24" s="11">
        <f>(F24)/($F$43)</f>
        <v>0</v>
      </c>
      <c r="H24" s="11">
        <f>(E24)* (G24)</f>
        <v>0</v>
      </c>
      <c r="I24" s="27">
        <f t="shared" si="3"/>
        <v>0</v>
      </c>
      <c r="J24" t="s">
        <v>118</v>
      </c>
    </row>
    <row r="25" spans="1:10">
      <c r="A25" t="s">
        <v>128</v>
      </c>
      <c r="B25" s="25"/>
      <c r="C25" s="27">
        <v>1</v>
      </c>
      <c r="D25" s="11">
        <f t="shared" si="2"/>
        <v>1.0449320794148382E-2</v>
      </c>
      <c r="E25" s="11">
        <v>0</v>
      </c>
      <c r="F25" s="27">
        <v>0</v>
      </c>
      <c r="J25" t="s">
        <v>118</v>
      </c>
    </row>
    <row r="26" spans="1:10">
      <c r="B26" t="s">
        <v>102</v>
      </c>
      <c r="C26" s="27">
        <f>SUM(C16:C25)</f>
        <v>95.699999999999989</v>
      </c>
      <c r="E26" t="s">
        <v>102</v>
      </c>
      <c r="F26" s="27">
        <f>SUM(F16:F24)</f>
        <v>69.099999999999994</v>
      </c>
      <c r="G26" s="11"/>
      <c r="I26" s="11"/>
    </row>
    <row r="27" spans="1:10" ht="45">
      <c r="E27" s="11"/>
      <c r="F27" s="11"/>
      <c r="G27" s="12" t="s">
        <v>139</v>
      </c>
      <c r="H27" s="27">
        <f>SUM(H16:H24)</f>
        <v>396.65</v>
      </c>
      <c r="I27" s="44"/>
    </row>
    <row r="28" spans="1:10">
      <c r="C28" s="19"/>
      <c r="D28" s="19"/>
      <c r="E28" s="19"/>
      <c r="G28" s="11"/>
      <c r="H28" s="19"/>
    </row>
    <row r="29" spans="1:10">
      <c r="C29" s="19"/>
      <c r="D29" s="19"/>
      <c r="E29" s="19"/>
      <c r="G29" s="11"/>
      <c r="H29" s="19"/>
    </row>
    <row r="30" spans="1:10">
      <c r="C30" s="19"/>
      <c r="D30" s="19"/>
      <c r="E30" s="19"/>
      <c r="G30" s="11"/>
      <c r="H30" s="19"/>
    </row>
    <row r="31" spans="1:10">
      <c r="C31" s="19"/>
      <c r="D31" s="19"/>
      <c r="E31" s="19"/>
      <c r="G31" s="11"/>
      <c r="H31" s="19"/>
    </row>
    <row r="33" spans="1:12" ht="75">
      <c r="A33" s="15" t="s">
        <v>160</v>
      </c>
      <c r="B33" s="4" t="s">
        <v>83</v>
      </c>
      <c r="C33" s="21" t="s">
        <v>71</v>
      </c>
      <c r="D33" s="6" t="s">
        <v>103</v>
      </c>
      <c r="E33" s="4" t="s">
        <v>47</v>
      </c>
      <c r="F33" s="8" t="s">
        <v>144</v>
      </c>
      <c r="G33" s="6" t="s">
        <v>145</v>
      </c>
      <c r="H33" s="6" t="s">
        <v>258</v>
      </c>
      <c r="I33" s="6" t="s">
        <v>260</v>
      </c>
      <c r="J33" s="14" t="s">
        <v>111</v>
      </c>
      <c r="K33" s="30" t="s">
        <v>112</v>
      </c>
      <c r="L33" s="11" t="s">
        <v>266</v>
      </c>
    </row>
    <row r="34" spans="1:12">
      <c r="A34" s="11" t="s">
        <v>104</v>
      </c>
      <c r="B34" s="24" t="s">
        <v>93</v>
      </c>
      <c r="C34" s="27">
        <v>25.1</v>
      </c>
      <c r="D34">
        <f t="shared" ref="D34:D42" si="6">(C34)/($C$43)</f>
        <v>0.251</v>
      </c>
      <c r="E34" s="26">
        <v>254.40799999999999</v>
      </c>
      <c r="F34" s="27">
        <v>25.1</v>
      </c>
      <c r="G34">
        <f>(F34)/($F$43)</f>
        <v>0.27312295973884659</v>
      </c>
      <c r="H34" s="11">
        <f>(E34)* (G34)</f>
        <v>69.484665941240479</v>
      </c>
      <c r="I34" s="19">
        <f xml:space="preserve"> (H34)*($G$7)</f>
        <v>10.997573026671153</v>
      </c>
      <c r="J34" s="31">
        <f>(I34)*1/($H$10)</f>
        <v>1.8827298244116566E-2</v>
      </c>
      <c r="K34" t="s">
        <v>113</v>
      </c>
      <c r="L34" s="60">
        <f>((J34)*('Elemental Equation'!$E$5)*1000)/(E34)</f>
        <v>2.9683144105983914E-2</v>
      </c>
    </row>
    <row r="35" spans="1:12">
      <c r="A35" s="11" t="s">
        <v>105</v>
      </c>
      <c r="B35" s="24" t="s">
        <v>95</v>
      </c>
      <c r="C35" s="27">
        <v>28</v>
      </c>
      <c r="D35">
        <f t="shared" si="6"/>
        <v>0.27999999999999997</v>
      </c>
      <c r="E35" s="28">
        <v>284.48</v>
      </c>
      <c r="F35" s="27">
        <v>28</v>
      </c>
      <c r="G35">
        <f t="shared" ref="G35:G42" si="7">(F35)/($F$43)</f>
        <v>0.30467899891186068</v>
      </c>
      <c r="H35" s="11">
        <f t="shared" ref="H35:H42" si="8">(E35)* (G35)</f>
        <v>86.675081610446128</v>
      </c>
      <c r="I35" s="19">
        <f t="shared" ref="I35:I42" si="9" xml:space="preserve"> (H35)*($G$7)</f>
        <v>13.718358240502264</v>
      </c>
      <c r="J35" s="31">
        <f t="shared" ref="J35:J42" si="10">(I35)*1/($H$10)</f>
        <v>2.3485147258144535E-2</v>
      </c>
      <c r="K35" t="s">
        <v>114</v>
      </c>
      <c r="L35" s="60">
        <f>((J35)*('Elemental Equation'!$E$5)*1000)/(E35)</f>
        <v>3.3112670715838621E-2</v>
      </c>
    </row>
    <row r="36" spans="1:12">
      <c r="A36" s="11" t="s">
        <v>107</v>
      </c>
      <c r="B36" s="24" t="s">
        <v>96</v>
      </c>
      <c r="C36" s="12">
        <v>7.6</v>
      </c>
      <c r="D36">
        <f t="shared" si="6"/>
        <v>7.5999999999999984E-2</v>
      </c>
      <c r="E36" s="28">
        <v>282.45999999999998</v>
      </c>
      <c r="F36" s="12">
        <v>7.6</v>
      </c>
      <c r="G36">
        <f t="shared" si="7"/>
        <v>8.2698585418933615E-2</v>
      </c>
      <c r="H36" s="11">
        <f t="shared" si="8"/>
        <v>23.359042437431988</v>
      </c>
      <c r="I36" s="19">
        <f t="shared" si="9"/>
        <v>3.6971146303849185</v>
      </c>
      <c r="J36" s="31">
        <f t="shared" si="10"/>
        <v>6.3292764340036247E-3</v>
      </c>
      <c r="K36" t="s">
        <v>115</v>
      </c>
      <c r="L36" s="60">
        <f>((J36)*('Elemental Equation'!$E$5)*1000)/(E36)</f>
        <v>8.9877249085847707E-3</v>
      </c>
    </row>
    <row r="37" spans="1:12">
      <c r="A37" s="11" t="s">
        <v>109</v>
      </c>
      <c r="B37" s="24" t="s">
        <v>97</v>
      </c>
      <c r="C37" s="12">
        <v>30.8</v>
      </c>
      <c r="D37">
        <f t="shared" si="6"/>
        <v>0.30799999999999994</v>
      </c>
      <c r="E37" s="11">
        <v>280.45</v>
      </c>
      <c r="F37" s="12">
        <v>30.8</v>
      </c>
      <c r="G37">
        <f t="shared" si="7"/>
        <v>0.33514689880304677</v>
      </c>
      <c r="H37" s="11">
        <f t="shared" si="8"/>
        <v>93.991947769314464</v>
      </c>
      <c r="I37" s="19">
        <f t="shared" si="9"/>
        <v>14.876423387949052</v>
      </c>
      <c r="J37" s="31">
        <f t="shared" si="10"/>
        <v>2.5467697213868455E-2</v>
      </c>
      <c r="K37" t="s">
        <v>116</v>
      </c>
      <c r="L37" s="60">
        <f>((J37)*('Elemental Equation'!$E$5)*1000)/(E37)</f>
        <v>3.6423937787422492E-2</v>
      </c>
    </row>
    <row r="38" spans="1:12">
      <c r="A38" s="11" t="s">
        <v>110</v>
      </c>
      <c r="B38" s="24" t="s">
        <v>98</v>
      </c>
      <c r="C38" s="27">
        <v>0.4</v>
      </c>
      <c r="D38">
        <f t="shared" si="6"/>
        <v>4.0000000000000001E-3</v>
      </c>
      <c r="E38" s="29">
        <v>278.43</v>
      </c>
      <c r="F38" s="27">
        <v>0.4</v>
      </c>
      <c r="G38">
        <f t="shared" si="7"/>
        <v>4.3525571273122961E-3</v>
      </c>
      <c r="H38" s="11">
        <f t="shared" si="8"/>
        <v>1.2118824809575626</v>
      </c>
      <c r="I38" s="19">
        <f t="shared" si="9"/>
        <v>0.19180873799328327</v>
      </c>
      <c r="J38" s="46">
        <f t="shared" si="10"/>
        <v>3.2836702309402537E-4</v>
      </c>
      <c r="K38" t="s">
        <v>117</v>
      </c>
      <c r="L38" s="60">
        <f>((J38)*('Elemental Equation'!$E$5)*1000)/(E38)</f>
        <v>4.7303815308340902E-4</v>
      </c>
    </row>
    <row r="39" spans="1:12">
      <c r="A39" s="11" t="s">
        <v>106</v>
      </c>
      <c r="B39" s="24" t="s">
        <v>99</v>
      </c>
      <c r="C39" s="27">
        <v>3.7</v>
      </c>
      <c r="D39">
        <f t="shared" si="6"/>
        <v>3.6999999999999998E-2</v>
      </c>
      <c r="E39" s="11">
        <v>312.54000000000002</v>
      </c>
      <c r="F39" s="27">
        <v>0</v>
      </c>
      <c r="G39">
        <f t="shared" si="7"/>
        <v>0</v>
      </c>
      <c r="H39" s="11">
        <f t="shared" si="8"/>
        <v>0</v>
      </c>
      <c r="I39">
        <f t="shared" si="9"/>
        <v>0</v>
      </c>
      <c r="J39" s="31">
        <f t="shared" si="10"/>
        <v>0</v>
      </c>
      <c r="K39" t="s">
        <v>118</v>
      </c>
    </row>
    <row r="40" spans="1:12">
      <c r="A40" s="11" t="s">
        <v>121</v>
      </c>
      <c r="B40" s="24" t="s">
        <v>100</v>
      </c>
      <c r="C40" s="27">
        <v>0.7</v>
      </c>
      <c r="D40">
        <f t="shared" si="6"/>
        <v>6.9999999999999984E-3</v>
      </c>
      <c r="E40" s="11">
        <v>310.51</v>
      </c>
      <c r="F40" s="27">
        <v>0</v>
      </c>
      <c r="G40">
        <f t="shared" si="7"/>
        <v>0</v>
      </c>
      <c r="H40" s="11">
        <f t="shared" si="8"/>
        <v>0</v>
      </c>
      <c r="I40">
        <f t="shared" si="9"/>
        <v>0</v>
      </c>
      <c r="J40" s="31">
        <f t="shared" si="10"/>
        <v>0</v>
      </c>
      <c r="K40" t="s">
        <v>118</v>
      </c>
    </row>
    <row r="41" spans="1:12">
      <c r="A41" s="11" t="s">
        <v>120</v>
      </c>
      <c r="B41" s="24" t="s">
        <v>101</v>
      </c>
      <c r="C41" s="27">
        <v>1.8</v>
      </c>
      <c r="D41">
        <f t="shared" si="6"/>
        <v>1.7999999999999999E-2</v>
      </c>
      <c r="E41" s="11">
        <v>340.58</v>
      </c>
      <c r="F41" s="27">
        <v>0</v>
      </c>
      <c r="G41">
        <f t="shared" si="7"/>
        <v>0</v>
      </c>
      <c r="H41" s="11">
        <f t="shared" si="8"/>
        <v>0</v>
      </c>
      <c r="I41">
        <f t="shared" si="9"/>
        <v>0</v>
      </c>
      <c r="J41" s="31">
        <f t="shared" si="10"/>
        <v>0</v>
      </c>
      <c r="K41" t="s">
        <v>118</v>
      </c>
    </row>
    <row r="42" spans="1:12">
      <c r="A42" s="22" t="s">
        <v>119</v>
      </c>
      <c r="B42" s="25" t="s">
        <v>108</v>
      </c>
      <c r="C42" s="27">
        <v>1.9</v>
      </c>
      <c r="D42">
        <f t="shared" si="6"/>
        <v>1.8999999999999996E-2</v>
      </c>
      <c r="E42" s="11">
        <v>338.57</v>
      </c>
      <c r="F42" s="27">
        <v>0</v>
      </c>
      <c r="G42">
        <f t="shared" si="7"/>
        <v>0</v>
      </c>
      <c r="H42" s="11">
        <f t="shared" si="8"/>
        <v>0</v>
      </c>
      <c r="I42">
        <f t="shared" si="9"/>
        <v>0</v>
      </c>
      <c r="J42" s="31">
        <f t="shared" si="10"/>
        <v>0</v>
      </c>
      <c r="K42" t="s">
        <v>118</v>
      </c>
    </row>
    <row r="43" spans="1:12">
      <c r="B43" t="s">
        <v>102</v>
      </c>
      <c r="C43" s="27">
        <f>SUM(C34:C42)</f>
        <v>100.00000000000001</v>
      </c>
      <c r="E43" t="s">
        <v>102</v>
      </c>
      <c r="F43" s="27">
        <f>SUM(F34:F42)</f>
        <v>91.9</v>
      </c>
      <c r="J43" s="11"/>
    </row>
    <row r="44" spans="1:12" ht="45">
      <c r="E44" s="11"/>
      <c r="F44" s="11"/>
      <c r="G44" s="12" t="s">
        <v>138</v>
      </c>
      <c r="H44" s="27">
        <f>SUM(H34:H42)</f>
        <v>274.72262023939061</v>
      </c>
      <c r="I44" s="27">
        <f>SUM(I34:I42)</f>
        <v>43.481278023500671</v>
      </c>
      <c r="J44" s="63">
        <f>SUM(J34:J42)</f>
        <v>7.4437786173227202E-2</v>
      </c>
      <c r="K44" s="27"/>
      <c r="L44" s="62">
        <f>SUM(L34:L42)</f>
        <v>0.10868051567091319</v>
      </c>
    </row>
    <row r="45" spans="1:12">
      <c r="E45" s="11"/>
      <c r="F45" s="11"/>
      <c r="G45" s="11"/>
      <c r="H45" s="11"/>
    </row>
    <row r="47" spans="1:12" ht="75">
      <c r="A47" s="15" t="s">
        <v>161</v>
      </c>
      <c r="B47" s="4" t="s">
        <v>83</v>
      </c>
      <c r="C47" s="21" t="s">
        <v>71</v>
      </c>
      <c r="D47" s="6" t="s">
        <v>103</v>
      </c>
      <c r="E47" s="4" t="s">
        <v>47</v>
      </c>
      <c r="F47" s="8" t="s">
        <v>144</v>
      </c>
      <c r="G47" s="6" t="s">
        <v>145</v>
      </c>
      <c r="H47" s="6" t="s">
        <v>259</v>
      </c>
      <c r="I47" s="14" t="s">
        <v>111</v>
      </c>
      <c r="J47" s="33" t="s">
        <v>112</v>
      </c>
    </row>
    <row r="48" spans="1:12">
      <c r="A48" s="11" t="s">
        <v>104</v>
      </c>
      <c r="B48" s="24" t="s">
        <v>93</v>
      </c>
      <c r="C48" s="27">
        <v>29.3</v>
      </c>
      <c r="D48">
        <f t="shared" ref="D48:D57" si="11">(C48)/($C$58)</f>
        <v>0.29867482161060144</v>
      </c>
      <c r="E48" s="26">
        <v>254.40799999999999</v>
      </c>
      <c r="F48" s="27">
        <v>29.3</v>
      </c>
      <c r="G48" s="11">
        <f>(F48)/($F$58)</f>
        <v>0.29867482161060144</v>
      </c>
      <c r="H48" s="11">
        <f>(E48)* (G48)</f>
        <v>75.985264016309884</v>
      </c>
      <c r="I48" s="31">
        <f>(H48)*1/($H$44)</f>
        <v>0.27658903351350195</v>
      </c>
      <c r="J48" t="s">
        <v>113</v>
      </c>
    </row>
    <row r="49" spans="1:13">
      <c r="A49" t="s">
        <v>140</v>
      </c>
      <c r="B49" s="24" t="s">
        <v>94</v>
      </c>
      <c r="C49" s="24" t="s">
        <v>141</v>
      </c>
      <c r="D49">
        <f t="shared" si="11"/>
        <v>2.0387359836901122E-2</v>
      </c>
      <c r="E49" s="11">
        <v>254.41</v>
      </c>
      <c r="F49" s="24" t="s">
        <v>142</v>
      </c>
      <c r="G49" s="11">
        <f t="shared" ref="G49" si="12">(F49)/($F$58)</f>
        <v>0</v>
      </c>
      <c r="H49" s="11">
        <f>(E49)* (G49)</f>
        <v>0</v>
      </c>
      <c r="J49" t="s">
        <v>118</v>
      </c>
    </row>
    <row r="50" spans="1:13">
      <c r="A50" s="11" t="s">
        <v>105</v>
      </c>
      <c r="B50" s="24" t="s">
        <v>95</v>
      </c>
      <c r="C50" s="27">
        <v>20</v>
      </c>
      <c r="D50">
        <f t="shared" si="11"/>
        <v>0.20387359836901123</v>
      </c>
      <c r="E50" s="28">
        <v>284.48</v>
      </c>
      <c r="F50" s="27">
        <v>20</v>
      </c>
      <c r="G50" s="11">
        <f>(F50)/($F$58)</f>
        <v>0.20387359836901123</v>
      </c>
      <c r="H50" s="11">
        <f t="shared" ref="H50:H57" si="13">(E50)* (G50)</f>
        <v>57.997961264016318</v>
      </c>
      <c r="I50" s="31">
        <f t="shared" ref="I50:I57" si="14">(H50)*1/($H$44)</f>
        <v>0.21111461885984292</v>
      </c>
      <c r="J50" t="s">
        <v>114</v>
      </c>
    </row>
    <row r="51" spans="1:13">
      <c r="A51" s="11" t="s">
        <v>107</v>
      </c>
      <c r="B51" s="24" t="s">
        <v>96</v>
      </c>
      <c r="C51" s="12">
        <v>24.4</v>
      </c>
      <c r="D51">
        <f t="shared" si="11"/>
        <v>0.24872579001019368</v>
      </c>
      <c r="E51" s="28">
        <v>282.45999999999998</v>
      </c>
      <c r="F51" s="12">
        <v>24.4</v>
      </c>
      <c r="G51" s="11">
        <f>(F51)/($F$58)</f>
        <v>0.24872579001019368</v>
      </c>
      <c r="H51" s="11">
        <f t="shared" si="13"/>
        <v>70.255086646279295</v>
      </c>
      <c r="I51" s="31">
        <f t="shared" si="14"/>
        <v>0.25573098634928459</v>
      </c>
      <c r="J51" t="s">
        <v>115</v>
      </c>
    </row>
    <row r="52" spans="1:13">
      <c r="A52" s="11" t="s">
        <v>109</v>
      </c>
      <c r="B52" s="24" t="s">
        <v>97</v>
      </c>
      <c r="C52" s="12">
        <v>20.5</v>
      </c>
      <c r="D52">
        <f t="shared" si="11"/>
        <v>0.2089704383282365</v>
      </c>
      <c r="E52" s="11">
        <v>280.45</v>
      </c>
      <c r="F52" s="12">
        <v>20.5</v>
      </c>
      <c r="G52" s="11">
        <f>(F52)/($F$58)</f>
        <v>0.2089704383282365</v>
      </c>
      <c r="H52" s="11">
        <f t="shared" si="13"/>
        <v>58.605759429153927</v>
      </c>
      <c r="I52" s="31">
        <f t="shared" si="14"/>
        <v>0.21332702555794439</v>
      </c>
      <c r="J52" t="s">
        <v>116</v>
      </c>
    </row>
    <row r="53" spans="1:13">
      <c r="A53" s="11" t="s">
        <v>110</v>
      </c>
      <c r="B53" s="24" t="s">
        <v>98</v>
      </c>
      <c r="C53" s="27">
        <v>1.3</v>
      </c>
      <c r="D53">
        <f t="shared" si="11"/>
        <v>1.3251783893985731E-2</v>
      </c>
      <c r="E53" s="29">
        <v>278.43</v>
      </c>
      <c r="F53" s="27">
        <v>1.3</v>
      </c>
      <c r="G53" s="11">
        <f>(F53)/($F$58)</f>
        <v>1.3251783893985731E-2</v>
      </c>
      <c r="H53" s="11">
        <f t="shared" si="13"/>
        <v>3.6896941896024469</v>
      </c>
      <c r="I53" s="31">
        <f t="shared" si="14"/>
        <v>1.3430616621184246E-2</v>
      </c>
      <c r="J53" t="s">
        <v>117</v>
      </c>
    </row>
    <row r="54" spans="1:13">
      <c r="A54" s="11" t="s">
        <v>106</v>
      </c>
      <c r="B54" s="24" t="s">
        <v>99</v>
      </c>
      <c r="C54" s="27">
        <v>1</v>
      </c>
      <c r="D54">
        <f t="shared" si="11"/>
        <v>1.0193679918450561E-2</v>
      </c>
      <c r="E54" s="11">
        <v>312.54000000000002</v>
      </c>
      <c r="F54" s="27">
        <v>1</v>
      </c>
      <c r="G54" s="11">
        <v>0</v>
      </c>
      <c r="H54" s="11">
        <f t="shared" si="13"/>
        <v>0</v>
      </c>
      <c r="I54" s="27">
        <f t="shared" si="14"/>
        <v>0</v>
      </c>
      <c r="J54" t="s">
        <v>118</v>
      </c>
    </row>
    <row r="55" spans="1:13">
      <c r="A55" s="11" t="s">
        <v>121</v>
      </c>
      <c r="B55" s="24" t="s">
        <v>100</v>
      </c>
      <c r="C55" s="27">
        <v>0.7</v>
      </c>
      <c r="D55">
        <f t="shared" si="11"/>
        <v>7.1355759429153924E-3</v>
      </c>
      <c r="E55" s="11">
        <v>310.51</v>
      </c>
      <c r="F55" s="27">
        <v>0.7</v>
      </c>
      <c r="G55" s="11">
        <v>0</v>
      </c>
      <c r="H55" s="11">
        <f t="shared" si="13"/>
        <v>0</v>
      </c>
      <c r="I55" s="27">
        <f t="shared" si="14"/>
        <v>0</v>
      </c>
      <c r="J55" t="s">
        <v>118</v>
      </c>
    </row>
    <row r="56" spans="1:13">
      <c r="A56" s="11" t="s">
        <v>120</v>
      </c>
      <c r="B56" s="24" t="s">
        <v>101</v>
      </c>
      <c r="C56" s="27">
        <v>0.7</v>
      </c>
      <c r="D56">
        <f t="shared" si="11"/>
        <v>7.1355759429153924E-3</v>
      </c>
      <c r="E56" s="11">
        <v>340.58</v>
      </c>
      <c r="F56" s="27">
        <v>0.7</v>
      </c>
      <c r="G56" s="11">
        <v>0</v>
      </c>
      <c r="H56" s="11">
        <f t="shared" si="13"/>
        <v>0</v>
      </c>
      <c r="I56" s="27">
        <f t="shared" si="14"/>
        <v>0</v>
      </c>
      <c r="J56" t="s">
        <v>118</v>
      </c>
    </row>
    <row r="57" spans="1:13">
      <c r="A57" s="22" t="s">
        <v>119</v>
      </c>
      <c r="B57" s="25" t="s">
        <v>108</v>
      </c>
      <c r="C57" s="27">
        <v>0.2</v>
      </c>
      <c r="D57">
        <f t="shared" si="11"/>
        <v>2.0387359836901123E-3</v>
      </c>
      <c r="E57" s="11">
        <v>338.57</v>
      </c>
      <c r="F57" s="27">
        <v>0.2</v>
      </c>
      <c r="G57" s="11">
        <v>0</v>
      </c>
      <c r="H57" s="11">
        <f t="shared" si="13"/>
        <v>0</v>
      </c>
      <c r="I57" s="27">
        <f t="shared" si="14"/>
        <v>0</v>
      </c>
      <c r="J57" t="s">
        <v>118</v>
      </c>
    </row>
    <row r="58" spans="1:13">
      <c r="B58" t="s">
        <v>102</v>
      </c>
      <c r="C58" s="27">
        <f>SUM(C48:C57)</f>
        <v>98.1</v>
      </c>
      <c r="E58" t="s">
        <v>102</v>
      </c>
      <c r="F58" s="27">
        <f>SUM(F48:F57)</f>
        <v>98.1</v>
      </c>
      <c r="I58" s="11"/>
    </row>
    <row r="59" spans="1:13" ht="60">
      <c r="E59" s="11"/>
      <c r="F59" s="11"/>
      <c r="G59" s="12" t="s">
        <v>143</v>
      </c>
      <c r="H59" s="27">
        <f>SUM(H48:H57)</f>
        <v>266.53376554536186</v>
      </c>
    </row>
    <row r="62" spans="1:13" ht="45">
      <c r="D62" s="13" t="s">
        <v>57</v>
      </c>
      <c r="E62" s="13" t="s">
        <v>58</v>
      </c>
      <c r="F62" s="13" t="s">
        <v>59</v>
      </c>
      <c r="G62" s="13" t="s">
        <v>60</v>
      </c>
      <c r="H62" s="13" t="s">
        <v>184</v>
      </c>
      <c r="I62" s="13" t="s">
        <v>52</v>
      </c>
      <c r="J62" s="13" t="s">
        <v>53</v>
      </c>
      <c r="K62" s="13" t="s">
        <v>54</v>
      </c>
      <c r="L62" s="13" t="s">
        <v>55</v>
      </c>
      <c r="M62" s="13" t="s">
        <v>185</v>
      </c>
    </row>
    <row r="63" spans="1:13">
      <c r="C63" t="s">
        <v>113</v>
      </c>
      <c r="D63" s="12">
        <v>16</v>
      </c>
      <c r="E63" s="12">
        <v>31</v>
      </c>
      <c r="F63" s="12">
        <v>2</v>
      </c>
      <c r="G63" s="41">
        <v>0</v>
      </c>
      <c r="H63" s="12">
        <v>0</v>
      </c>
      <c r="I63" s="32">
        <f>(D63)*($D34)</f>
        <v>4.016</v>
      </c>
      <c r="J63" s="32">
        <f>(E63)*($D34)</f>
        <v>7.7809999999999997</v>
      </c>
      <c r="K63" s="32">
        <f>(F63)*($D34)</f>
        <v>0.502</v>
      </c>
      <c r="L63" s="32">
        <f t="shared" ref="L63:M67" si="15">(G63)*($D41)</f>
        <v>0</v>
      </c>
      <c r="M63" s="32">
        <f t="shared" si="15"/>
        <v>0</v>
      </c>
    </row>
    <row r="64" spans="1:13">
      <c r="C64" t="s">
        <v>114</v>
      </c>
      <c r="D64" s="12">
        <v>18</v>
      </c>
      <c r="E64" s="12">
        <v>35</v>
      </c>
      <c r="F64" s="12">
        <v>2</v>
      </c>
      <c r="G64" s="41">
        <v>0</v>
      </c>
      <c r="H64" s="12">
        <v>0</v>
      </c>
      <c r="I64" s="32">
        <f>(D64)*($D35)</f>
        <v>5.0399999999999991</v>
      </c>
      <c r="J64" s="32">
        <f t="shared" ref="J64:J66" si="16">(E64)*($D35)</f>
        <v>9.7999999999999989</v>
      </c>
      <c r="K64" s="32">
        <f>(F64)*($D35)</f>
        <v>0.55999999999999994</v>
      </c>
      <c r="L64" s="32">
        <f t="shared" si="15"/>
        <v>0</v>
      </c>
      <c r="M64" s="32">
        <f t="shared" si="15"/>
        <v>0</v>
      </c>
    </row>
    <row r="65" spans="3:13">
      <c r="C65" t="s">
        <v>115</v>
      </c>
      <c r="D65" s="12">
        <v>18</v>
      </c>
      <c r="E65" s="12">
        <v>33</v>
      </c>
      <c r="F65" s="12">
        <v>2</v>
      </c>
      <c r="G65" s="41">
        <v>0</v>
      </c>
      <c r="H65" s="12">
        <v>0</v>
      </c>
      <c r="I65" s="32">
        <f t="shared" ref="I65:I67" si="17">(D65)*($D36)</f>
        <v>1.3679999999999997</v>
      </c>
      <c r="J65" s="32">
        <f t="shared" si="16"/>
        <v>2.5079999999999996</v>
      </c>
      <c r="K65" s="32">
        <f>(F65)*($D36)</f>
        <v>0.15199999999999997</v>
      </c>
      <c r="L65" s="32">
        <f t="shared" si="15"/>
        <v>0</v>
      </c>
      <c r="M65" s="32">
        <f t="shared" si="15"/>
        <v>0</v>
      </c>
    </row>
    <row r="66" spans="3:13">
      <c r="C66" t="s">
        <v>116</v>
      </c>
      <c r="D66" s="12">
        <v>18</v>
      </c>
      <c r="E66" s="12">
        <v>31</v>
      </c>
      <c r="F66" s="12">
        <v>2</v>
      </c>
      <c r="G66" s="41">
        <v>0</v>
      </c>
      <c r="H66" s="12">
        <v>0</v>
      </c>
      <c r="I66" s="32">
        <f t="shared" si="17"/>
        <v>5.5439999999999987</v>
      </c>
      <c r="J66" s="32">
        <f t="shared" si="16"/>
        <v>9.5479999999999983</v>
      </c>
      <c r="K66" s="32">
        <f>(F66)*($D37)</f>
        <v>0.61599999999999988</v>
      </c>
      <c r="L66" s="32">
        <f t="shared" si="15"/>
        <v>0</v>
      </c>
      <c r="M66" s="32">
        <f t="shared" si="15"/>
        <v>0</v>
      </c>
    </row>
    <row r="67" spans="3:13">
      <c r="C67" t="s">
        <v>117</v>
      </c>
      <c r="D67" s="12">
        <v>18</v>
      </c>
      <c r="E67" s="12">
        <v>29</v>
      </c>
      <c r="F67" s="12">
        <v>2</v>
      </c>
      <c r="G67" s="41">
        <v>0</v>
      </c>
      <c r="H67" s="12">
        <v>0</v>
      </c>
      <c r="I67" s="32">
        <f t="shared" si="17"/>
        <v>7.2000000000000008E-2</v>
      </c>
      <c r="J67" s="32">
        <f>(E67)*($D38)</f>
        <v>0.11600000000000001</v>
      </c>
      <c r="K67" s="32">
        <f>(F67)*($D38)</f>
        <v>8.0000000000000002E-3</v>
      </c>
      <c r="L67" s="32">
        <f t="shared" si="15"/>
        <v>0</v>
      </c>
      <c r="M67" s="32">
        <f t="shared" si="15"/>
        <v>0</v>
      </c>
    </row>
    <row r="68" spans="3:13">
      <c r="C68" s="11" t="s">
        <v>192</v>
      </c>
      <c r="D68" s="12">
        <f>SUM(D63:D67)</f>
        <v>88</v>
      </c>
      <c r="E68" s="12">
        <f>SUM(E63:E67)</f>
        <v>159</v>
      </c>
      <c r="F68" s="12">
        <f>SUM(F63:F67)</f>
        <v>10</v>
      </c>
      <c r="G68" s="12">
        <f>SUM(G63:G67)</f>
        <v>0</v>
      </c>
      <c r="H68" s="12">
        <f t="shared" ref="H68" si="18">SUM(H63:H67)</f>
        <v>0</v>
      </c>
      <c r="I68" s="32">
        <f>($G$7)*SUM(I63:I67)</f>
        <v>2.5387050359712227</v>
      </c>
      <c r="J68" s="32">
        <f>($G$7)*SUM(J63:J67)</f>
        <v>4.7091079136690634</v>
      </c>
      <c r="K68" s="32">
        <f t="shared" ref="K68:M68" si="19">($G$7)*SUM(K63:K67)</f>
        <v>0.29090647482014381</v>
      </c>
      <c r="L68" s="32">
        <f t="shared" si="19"/>
        <v>0</v>
      </c>
      <c r="M68" s="32">
        <f t="shared" si="19"/>
        <v>0</v>
      </c>
    </row>
    <row r="70" spans="3:13">
      <c r="C70" t="s">
        <v>113</v>
      </c>
      <c r="D70" s="12">
        <v>16</v>
      </c>
      <c r="E70" s="12">
        <v>31</v>
      </c>
      <c r="F70" s="12">
        <v>2</v>
      </c>
      <c r="G70" s="41">
        <v>0</v>
      </c>
      <c r="H70" s="12">
        <v>0</v>
      </c>
      <c r="I70" s="32">
        <f>(D70)*($D$48)</f>
        <v>4.778797145769623</v>
      </c>
      <c r="J70" s="32">
        <f>(E70)*($D$48)</f>
        <v>9.2589194699286441</v>
      </c>
      <c r="K70" s="32">
        <f t="shared" ref="K70:M70" si="20">(F70)*($D$48)</f>
        <v>0.59734964322120288</v>
      </c>
      <c r="L70" s="32">
        <f t="shared" si="20"/>
        <v>0</v>
      </c>
      <c r="M70" s="32">
        <f t="shared" si="20"/>
        <v>0</v>
      </c>
    </row>
    <row r="71" spans="3:13">
      <c r="C71" t="s">
        <v>114</v>
      </c>
      <c r="D71" s="12">
        <v>18</v>
      </c>
      <c r="E71" s="12">
        <v>35</v>
      </c>
      <c r="F71" s="12">
        <v>2</v>
      </c>
      <c r="G71" s="41">
        <v>0</v>
      </c>
      <c r="H71" s="12">
        <v>0</v>
      </c>
      <c r="I71" s="32">
        <f>(D71)*($D$50)</f>
        <v>3.669724770642202</v>
      </c>
      <c r="J71" s="32">
        <f>(E71)*($D$50)</f>
        <v>7.1355759429153931</v>
      </c>
      <c r="K71" s="32">
        <f t="shared" ref="K71:M71" si="21">(F71)*($D$50)</f>
        <v>0.40774719673802245</v>
      </c>
      <c r="L71" s="32">
        <f t="shared" si="21"/>
        <v>0</v>
      </c>
      <c r="M71" s="32">
        <f t="shared" si="21"/>
        <v>0</v>
      </c>
    </row>
    <row r="72" spans="3:13">
      <c r="C72" t="s">
        <v>115</v>
      </c>
      <c r="D72" s="12">
        <v>18</v>
      </c>
      <c r="E72" s="12">
        <v>33</v>
      </c>
      <c r="F72" s="12">
        <v>2</v>
      </c>
      <c r="G72" s="41">
        <v>0</v>
      </c>
      <c r="H72" s="12">
        <v>0</v>
      </c>
      <c r="I72" s="32">
        <f>(D72)*($D$51)</f>
        <v>4.477064220183486</v>
      </c>
      <c r="J72" s="32">
        <f>(E72)*($D$51)</f>
        <v>8.2079510703363923</v>
      </c>
      <c r="K72" s="32">
        <f t="shared" ref="K72:M72" si="22">(F72)*($D$51)</f>
        <v>0.49745158002038736</v>
      </c>
      <c r="L72" s="32">
        <f t="shared" si="22"/>
        <v>0</v>
      </c>
      <c r="M72" s="32">
        <f t="shared" si="22"/>
        <v>0</v>
      </c>
    </row>
    <row r="73" spans="3:13">
      <c r="C73" t="s">
        <v>116</v>
      </c>
      <c r="D73" s="12">
        <v>18</v>
      </c>
      <c r="E73" s="12">
        <v>31</v>
      </c>
      <c r="F73" s="12">
        <v>2</v>
      </c>
      <c r="G73" s="41">
        <v>0</v>
      </c>
      <c r="H73" s="12">
        <v>0</v>
      </c>
      <c r="I73" s="32">
        <f>(D73)*($D$52)</f>
        <v>3.761467889908257</v>
      </c>
      <c r="J73" s="32">
        <f>(E73)*($D$52)</f>
        <v>6.4780835881753314</v>
      </c>
      <c r="K73" s="32">
        <f t="shared" ref="K73:M73" si="23">(F73)*($D$52)</f>
        <v>0.417940876656473</v>
      </c>
      <c r="L73" s="32">
        <f t="shared" si="23"/>
        <v>0</v>
      </c>
      <c r="M73" s="32">
        <f t="shared" si="23"/>
        <v>0</v>
      </c>
    </row>
    <row r="74" spans="3:13">
      <c r="C74" t="s">
        <v>117</v>
      </c>
      <c r="D74" s="12">
        <v>18</v>
      </c>
      <c r="E74" s="12">
        <v>29</v>
      </c>
      <c r="F74" s="12">
        <v>2</v>
      </c>
      <c r="G74" s="41">
        <v>0</v>
      </c>
      <c r="H74" s="12">
        <v>0</v>
      </c>
      <c r="I74" s="32">
        <f>(D74)*($D$53)</f>
        <v>0.23853211009174316</v>
      </c>
      <c r="J74" s="32">
        <f>(E74)*($D$53)</f>
        <v>0.38430173292558617</v>
      </c>
      <c r="K74" s="32">
        <f t="shared" ref="K74:M74" si="24">(F74)*($D$53)</f>
        <v>2.6503567787971461E-2</v>
      </c>
      <c r="L74" s="32">
        <f t="shared" si="24"/>
        <v>0</v>
      </c>
      <c r="M74" s="32">
        <f t="shared" si="24"/>
        <v>0</v>
      </c>
    </row>
    <row r="75" spans="3:13">
      <c r="C75" s="11" t="s">
        <v>193</v>
      </c>
      <c r="D75" s="12">
        <f>SUM(D70:D74)</f>
        <v>88</v>
      </c>
      <c r="E75" s="12">
        <f>SUM(E70:E74)</f>
        <v>159</v>
      </c>
      <c r="F75" s="12">
        <f>SUM(F70:F74)</f>
        <v>10</v>
      </c>
      <c r="G75" s="12">
        <f>SUM(G70:G74)</f>
        <v>0</v>
      </c>
      <c r="H75" s="12">
        <f t="shared" ref="H75" si="25">SUM(H70:H74)</f>
        <v>0</v>
      </c>
      <c r="I75" s="32">
        <f>SUM(I70:I74)</f>
        <v>16.92558613659531</v>
      </c>
      <c r="J75" s="32">
        <f>SUM(J70:J74)</f>
        <v>31.464831804281346</v>
      </c>
      <c r="K75" s="32">
        <f>SUM(K70:K74)</f>
        <v>1.9469928644240571</v>
      </c>
      <c r="L75" s="32">
        <f>SUM(L70:L74)</f>
        <v>0</v>
      </c>
      <c r="M75" s="32">
        <f t="shared" ref="M75" si="26">SUM(M70:M74)</f>
        <v>0</v>
      </c>
    </row>
    <row r="78" spans="3:13">
      <c r="C78" t="s">
        <v>132</v>
      </c>
      <c r="D78" s="12">
        <v>28</v>
      </c>
      <c r="E78" s="12">
        <v>44</v>
      </c>
      <c r="F78" s="12">
        <v>1</v>
      </c>
      <c r="G78" s="41">
        <v>0</v>
      </c>
      <c r="H78" s="12">
        <v>0</v>
      </c>
      <c r="I78" s="32">
        <f>(D78)*($G$5)</f>
        <v>9.843645083932854</v>
      </c>
      <c r="J78" s="32">
        <f>(E78)*($G$5)</f>
        <v>15.468585131894484</v>
      </c>
      <c r="K78" s="32">
        <f t="shared" ref="K78:M78" si="27">(F78)*($G$5)</f>
        <v>0.35155875299760192</v>
      </c>
      <c r="L78" s="32">
        <f t="shared" si="27"/>
        <v>0</v>
      </c>
      <c r="M78" s="32">
        <f t="shared" si="27"/>
        <v>0</v>
      </c>
    </row>
    <row r="79" spans="3:13">
      <c r="C79" s="11" t="s">
        <v>194</v>
      </c>
      <c r="D79" s="12">
        <v>7</v>
      </c>
      <c r="E79" s="12">
        <v>12</v>
      </c>
      <c r="F79" s="12">
        <v>8</v>
      </c>
      <c r="G79" s="41">
        <v>1</v>
      </c>
      <c r="H79" s="12">
        <v>1</v>
      </c>
      <c r="I79" s="32"/>
      <c r="J79" s="32"/>
      <c r="K79" s="32"/>
      <c r="L79" s="32"/>
      <c r="M79" s="32"/>
    </row>
    <row r="80" spans="3:13">
      <c r="C80" s="11" t="s">
        <v>196</v>
      </c>
      <c r="D80" s="11">
        <f>2*(D75)</f>
        <v>176</v>
      </c>
      <c r="E80" s="11">
        <f>2*(E75)</f>
        <v>318</v>
      </c>
      <c r="F80" s="11">
        <f>2*(F75)</f>
        <v>20</v>
      </c>
      <c r="G80" s="11">
        <f>2*(G75)</f>
        <v>0</v>
      </c>
      <c r="H80" s="11">
        <f t="shared" ref="H80" si="28">2*(H75)</f>
        <v>0</v>
      </c>
    </row>
    <row r="81" spans="3:13">
      <c r="C81" s="11" t="s">
        <v>198</v>
      </c>
      <c r="D81" s="12">
        <f>SUM(D79:D80)</f>
        <v>183</v>
      </c>
      <c r="E81" s="12">
        <f t="shared" ref="E81:H81" si="29">SUM(E79:E80)</f>
        <v>330</v>
      </c>
      <c r="F81" s="12">
        <f t="shared" si="29"/>
        <v>28</v>
      </c>
      <c r="G81" s="12">
        <f t="shared" si="29"/>
        <v>1</v>
      </c>
      <c r="H81" s="12">
        <f t="shared" si="29"/>
        <v>1</v>
      </c>
      <c r="I81" s="32">
        <f>(D81)*($G$3)</f>
        <v>54.987769784172656</v>
      </c>
      <c r="J81" s="32">
        <f t="shared" ref="J81:M81" si="30">(E81)*($G$3)</f>
        <v>99.158273381294961</v>
      </c>
      <c r="K81" s="32">
        <f t="shared" si="30"/>
        <v>8.4134292565947231</v>
      </c>
      <c r="L81" s="32">
        <f t="shared" si="30"/>
        <v>0.30047961630695441</v>
      </c>
      <c r="M81" s="32">
        <f t="shared" si="30"/>
        <v>0.30047961630695441</v>
      </c>
    </row>
    <row r="83" spans="3:13">
      <c r="C83" s="11" t="s">
        <v>195</v>
      </c>
      <c r="D83" s="12">
        <v>10</v>
      </c>
      <c r="E83" s="12">
        <v>18</v>
      </c>
      <c r="F83" s="12">
        <v>8</v>
      </c>
      <c r="G83" s="41">
        <v>1</v>
      </c>
      <c r="H83" s="12">
        <v>1</v>
      </c>
      <c r="I83" s="32"/>
      <c r="J83" s="32"/>
      <c r="K83" s="32"/>
      <c r="L83" s="32"/>
      <c r="M83" s="32"/>
    </row>
    <row r="84" spans="3:13">
      <c r="C84" s="11" t="s">
        <v>196</v>
      </c>
      <c r="D84" s="11">
        <f>2*(D75)</f>
        <v>176</v>
      </c>
      <c r="E84" s="11">
        <f t="shared" ref="E84:H84" si="31">2*(E75)</f>
        <v>318</v>
      </c>
      <c r="F84" s="11">
        <f t="shared" si="31"/>
        <v>20</v>
      </c>
      <c r="G84" s="11">
        <f t="shared" si="31"/>
        <v>0</v>
      </c>
      <c r="H84" s="11">
        <f t="shared" si="31"/>
        <v>0</v>
      </c>
    </row>
    <row r="85" spans="3:13">
      <c r="C85" s="11" t="s">
        <v>197</v>
      </c>
      <c r="D85" s="12">
        <f>SUM(D83:D84)</f>
        <v>186</v>
      </c>
      <c r="E85" s="12">
        <f t="shared" ref="E85" si="32">SUM(E83:E84)</f>
        <v>336</v>
      </c>
      <c r="F85" s="12">
        <f t="shared" ref="F85" si="33">SUM(F83:F84)</f>
        <v>28</v>
      </c>
      <c r="G85" s="12">
        <f t="shared" ref="G85" si="34">SUM(G83:G84)</f>
        <v>1</v>
      </c>
      <c r="H85" s="12">
        <f t="shared" ref="H85" si="35">SUM(H83:H84)</f>
        <v>1</v>
      </c>
      <c r="I85" s="32">
        <f>(D85)*($G$4)</f>
        <v>35.282014388489202</v>
      </c>
      <c r="J85" s="32">
        <f t="shared" ref="J85:L85" si="36">(E85)*($G$4)</f>
        <v>63.735251798561144</v>
      </c>
      <c r="K85" s="32">
        <f t="shared" si="36"/>
        <v>5.3112709832134284</v>
      </c>
      <c r="L85" s="32">
        <f t="shared" si="36"/>
        <v>0.1896882494004796</v>
      </c>
      <c r="M85" s="32">
        <f>(H85)*($G$4)</f>
        <v>0.1896882494004796</v>
      </c>
    </row>
    <row r="87" spans="3:13" ht="30">
      <c r="C87" s="13" t="s">
        <v>251</v>
      </c>
      <c r="D87" s="11">
        <f>SUM((D81),(D68),(D78),(D85))</f>
        <v>485</v>
      </c>
      <c r="E87" s="11">
        <f t="shared" ref="E87:G87" si="37">SUM((E81),(E68),(E78),(E85))</f>
        <v>869</v>
      </c>
      <c r="F87" s="11">
        <f t="shared" si="37"/>
        <v>67</v>
      </c>
      <c r="G87" s="11">
        <f t="shared" si="37"/>
        <v>2</v>
      </c>
      <c r="H87" s="11">
        <f t="shared" ref="H87:M87" si="38">SUM((H81),(H68),(H78),(H85))</f>
        <v>2</v>
      </c>
      <c r="I87" s="11">
        <f>SUM((I81),(I68),(I78),(I85))</f>
        <v>102.65213429256593</v>
      </c>
      <c r="J87" s="11">
        <f t="shared" si="38"/>
        <v>183.07121822541964</v>
      </c>
      <c r="K87" s="11">
        <f t="shared" si="38"/>
        <v>14.367165467625899</v>
      </c>
      <c r="L87" s="11">
        <f t="shared" si="38"/>
        <v>0.49016786570743398</v>
      </c>
      <c r="M87" s="11">
        <f t="shared" si="38"/>
        <v>0.49016786570743398</v>
      </c>
    </row>
    <row r="88" spans="3:13">
      <c r="D88" s="32"/>
      <c r="E88" s="32"/>
      <c r="F88" s="32"/>
      <c r="G88" s="32"/>
      <c r="H88" s="32" t="s">
        <v>62</v>
      </c>
      <c r="I88" s="32">
        <f>(I87)/($I$87)</f>
        <v>1</v>
      </c>
      <c r="J88" s="32">
        <f>(J87)/($I$87)</f>
        <v>1.7834136570765646</v>
      </c>
      <c r="K88" s="32">
        <f>(K87)/($I$87)</f>
        <v>0.13995973456020358</v>
      </c>
      <c r="L88" s="32">
        <f>(L87)/($I$87)</f>
        <v>4.7750382306754619E-3</v>
      </c>
      <c r="M88" s="32">
        <f>(M87)/($I$87)</f>
        <v>4.7750382306754619E-3</v>
      </c>
    </row>
  </sheetData>
  <mergeCells count="1">
    <mergeCell ref="B1:C1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9"/>
  <sheetViews>
    <sheetView topLeftCell="C1" zoomScale="85" zoomScaleNormal="85" workbookViewId="0">
      <selection activeCell="N22" sqref="N22"/>
    </sheetView>
  </sheetViews>
  <sheetFormatPr baseColWidth="10" defaultRowHeight="15"/>
  <cols>
    <col min="1" max="1" width="24.85546875" customWidth="1"/>
    <col min="2" max="2" width="19.28515625" customWidth="1"/>
    <col min="3" max="3" width="21.140625" customWidth="1"/>
    <col min="4" max="4" width="19.7109375" customWidth="1"/>
    <col min="5" max="5" width="21" customWidth="1"/>
    <col min="6" max="6" width="19.28515625" customWidth="1"/>
    <col min="7" max="7" width="24.85546875" customWidth="1"/>
    <col min="8" max="8" width="26.140625" customWidth="1"/>
    <col min="9" max="9" width="29.7109375" customWidth="1"/>
    <col min="10" max="10" width="19.140625" customWidth="1"/>
  </cols>
  <sheetData>
    <row r="1" spans="1:12" ht="45">
      <c r="A1" s="15" t="s">
        <v>148</v>
      </c>
      <c r="B1" s="65" t="s">
        <v>72</v>
      </c>
      <c r="C1" s="65"/>
      <c r="D1" s="34">
        <f>SUM(C3:C8)</f>
        <v>104.1</v>
      </c>
      <c r="E1" s="2"/>
      <c r="F1" s="2"/>
      <c r="G1" s="2"/>
      <c r="H1" s="2"/>
      <c r="I1" s="2"/>
      <c r="J1" s="2"/>
    </row>
    <row r="2" spans="1:12" ht="63" customHeight="1">
      <c r="A2" s="15" t="s">
        <v>149</v>
      </c>
      <c r="B2" s="4" t="s">
        <v>83</v>
      </c>
      <c r="C2" s="21" t="s">
        <v>156</v>
      </c>
      <c r="D2" s="6" t="s">
        <v>73</v>
      </c>
      <c r="E2" s="4" t="s">
        <v>179</v>
      </c>
      <c r="F2" s="8" t="s">
        <v>177</v>
      </c>
      <c r="G2" s="6" t="s">
        <v>178</v>
      </c>
      <c r="H2" s="6" t="s">
        <v>176</v>
      </c>
      <c r="I2" s="14" t="s">
        <v>175</v>
      </c>
      <c r="J2" s="30" t="s">
        <v>112</v>
      </c>
      <c r="K2" s="11" t="s">
        <v>272</v>
      </c>
    </row>
    <row r="3" spans="1:12">
      <c r="A3" s="2" t="s">
        <v>150</v>
      </c>
      <c r="B3" s="12"/>
      <c r="C3" s="35">
        <v>14.2</v>
      </c>
      <c r="D3" s="39">
        <f t="shared" ref="D3:D8" si="0">(C3)/($D$1)</f>
        <v>0.13640730067243034</v>
      </c>
      <c r="E3" s="36">
        <v>203.19</v>
      </c>
      <c r="F3" s="35">
        <v>14.2</v>
      </c>
      <c r="G3" s="12">
        <f t="shared" ref="G3:G7" si="1">(F3)/($F$10)</f>
        <v>0.16099773242630386</v>
      </c>
      <c r="H3" s="35">
        <f>(E3)* (G3)</f>
        <v>32.713129251700678</v>
      </c>
      <c r="I3" s="37">
        <f>(H3)*1/($H$10)</f>
        <v>0.21628989582378341</v>
      </c>
      <c r="J3" s="2" t="s">
        <v>199</v>
      </c>
      <c r="K3" s="43">
        <f>((I3)*('Elemental Equation'!$E$6)*1000)/(E3)</f>
        <v>0.17393458820614305</v>
      </c>
    </row>
    <row r="4" spans="1:12">
      <c r="A4" s="2" t="s">
        <v>151</v>
      </c>
      <c r="B4" s="12"/>
      <c r="C4" s="35">
        <v>0</v>
      </c>
      <c r="D4" s="39">
        <f t="shared" si="0"/>
        <v>0</v>
      </c>
      <c r="E4" s="36">
        <v>0</v>
      </c>
      <c r="F4" s="35">
        <v>0</v>
      </c>
      <c r="G4" s="12">
        <f t="shared" si="1"/>
        <v>0</v>
      </c>
      <c r="H4" s="12">
        <f>(E4)* (G4)</f>
        <v>0</v>
      </c>
      <c r="I4" s="37">
        <f t="shared" ref="I4:I7" si="2">(H4)*1/($H$10)</f>
        <v>0</v>
      </c>
      <c r="J4" s="2" t="s">
        <v>118</v>
      </c>
      <c r="K4" s="43"/>
    </row>
    <row r="5" spans="1:12">
      <c r="A5" s="2" t="s">
        <v>152</v>
      </c>
      <c r="B5" s="12"/>
      <c r="C5" s="12">
        <v>15.9</v>
      </c>
      <c r="D5" s="39">
        <f t="shared" si="0"/>
        <v>0.1527377521613833</v>
      </c>
      <c r="E5" s="36">
        <v>0</v>
      </c>
      <c r="F5" s="12">
        <v>0</v>
      </c>
      <c r="G5" s="12">
        <f t="shared" si="1"/>
        <v>0</v>
      </c>
      <c r="H5" s="12">
        <f>(E5)* (G5)</f>
        <v>0</v>
      </c>
      <c r="I5" s="37">
        <f t="shared" si="2"/>
        <v>0</v>
      </c>
      <c r="J5" s="2" t="s">
        <v>118</v>
      </c>
      <c r="K5" s="43"/>
    </row>
    <row r="6" spans="1:12">
      <c r="A6" s="2" t="s">
        <v>153</v>
      </c>
      <c r="B6" s="12"/>
      <c r="C6" s="35">
        <v>0</v>
      </c>
      <c r="D6" s="39">
        <f t="shared" si="0"/>
        <v>0</v>
      </c>
      <c r="E6" s="38">
        <v>0</v>
      </c>
      <c r="F6" s="35">
        <v>0</v>
      </c>
      <c r="G6" s="12">
        <f t="shared" si="1"/>
        <v>0</v>
      </c>
      <c r="H6" s="12">
        <f t="shared" ref="H6" si="3">(E6)* (G6)</f>
        <v>0</v>
      </c>
      <c r="I6" s="37">
        <f t="shared" si="2"/>
        <v>0</v>
      </c>
      <c r="J6" s="2" t="s">
        <v>118</v>
      </c>
      <c r="K6" s="43"/>
    </row>
    <row r="7" spans="1:12">
      <c r="A7" s="2" t="s">
        <v>154</v>
      </c>
      <c r="B7" s="12"/>
      <c r="C7" s="12">
        <v>0.9</v>
      </c>
      <c r="D7" s="39">
        <f t="shared" si="0"/>
        <v>8.6455331412103754E-3</v>
      </c>
      <c r="E7" s="38">
        <v>94.971000000000004</v>
      </c>
      <c r="F7" s="12">
        <v>0.9</v>
      </c>
      <c r="G7" s="12">
        <f t="shared" si="1"/>
        <v>1.0204081632653062E-2</v>
      </c>
      <c r="H7" s="12">
        <f>(E7)* (G7)</f>
        <v>0.96909183673469401</v>
      </c>
      <c r="I7" s="37">
        <f t="shared" si="2"/>
        <v>6.4073592837386242E-3</v>
      </c>
      <c r="J7" s="2" t="s">
        <v>200</v>
      </c>
      <c r="K7" s="43">
        <f>((I7)*('Elemental Equation'!$E$6)*1000)/(E7)</f>
        <v>1.1024023196163999E-2</v>
      </c>
    </row>
    <row r="8" spans="1:12">
      <c r="A8" s="2" t="s">
        <v>155</v>
      </c>
      <c r="B8" s="2"/>
      <c r="C8" s="12">
        <v>73.099999999999994</v>
      </c>
      <c r="D8" s="39">
        <f t="shared" si="0"/>
        <v>0.70220941402497594</v>
      </c>
      <c r="E8" s="36">
        <f>(H22)</f>
        <v>141.8493230769231</v>
      </c>
      <c r="F8" s="12">
        <v>73.099999999999994</v>
      </c>
      <c r="G8" s="12">
        <f>(F8)/($F$10)</f>
        <v>0.82879818594104315</v>
      </c>
      <c r="H8" s="12">
        <f>(E8)* (G8)</f>
        <v>117.56446164311882</v>
      </c>
      <c r="I8" s="37">
        <f>(H8)*1/($H$10)</f>
        <v>0.77730274489247797</v>
      </c>
      <c r="J8" s="2"/>
      <c r="K8" s="43">
        <f>((I8)*('Elemental Equation'!$E$6)*1000)/(E8)</f>
        <v>0.89539566182176489</v>
      </c>
    </row>
    <row r="9" spans="1:12">
      <c r="A9" s="2"/>
      <c r="B9" s="12"/>
      <c r="C9" s="35"/>
      <c r="D9" s="35"/>
      <c r="E9" s="35"/>
      <c r="F9" s="35"/>
      <c r="G9" s="12"/>
      <c r="H9" s="35"/>
      <c r="I9" s="2"/>
      <c r="J9" s="2"/>
    </row>
    <row r="10" spans="1:12" ht="30">
      <c r="A10" s="2"/>
      <c r="B10" s="12"/>
      <c r="C10" s="35"/>
      <c r="D10" s="12"/>
      <c r="E10" s="12" t="s">
        <v>102</v>
      </c>
      <c r="F10" s="35">
        <f>SUM(F3:F9)</f>
        <v>88.199999999999989</v>
      </c>
      <c r="G10" s="12" t="s">
        <v>247</v>
      </c>
      <c r="H10" s="35">
        <f>SUM(H3:H9)</f>
        <v>151.24668273155419</v>
      </c>
      <c r="I10" s="44">
        <f>SUM(I3:I8)</f>
        <v>1</v>
      </c>
      <c r="J10" s="44"/>
      <c r="K10" s="61">
        <f>SUM(K3:K8)</f>
        <v>1.0803542732240718</v>
      </c>
    </row>
    <row r="13" spans="1:12" ht="105">
      <c r="A13" s="15" t="s">
        <v>157</v>
      </c>
      <c r="B13" s="4" t="s">
        <v>129</v>
      </c>
      <c r="C13" s="21" t="s">
        <v>169</v>
      </c>
      <c r="D13" s="6" t="s">
        <v>103</v>
      </c>
      <c r="E13" s="4" t="s">
        <v>170</v>
      </c>
      <c r="F13" s="8" t="s">
        <v>177</v>
      </c>
      <c r="G13" s="6" t="s">
        <v>178</v>
      </c>
      <c r="H13" s="6" t="s">
        <v>274</v>
      </c>
      <c r="I13" s="6" t="s">
        <v>273</v>
      </c>
      <c r="J13" s="14" t="s">
        <v>276</v>
      </c>
      <c r="K13" s="30" t="s">
        <v>275</v>
      </c>
    </row>
    <row r="14" spans="1:12">
      <c r="A14" s="11" t="s">
        <v>162</v>
      </c>
      <c r="B14" s="24"/>
      <c r="C14" s="27">
        <v>23</v>
      </c>
      <c r="D14" s="11">
        <f>(C14)/($C$21)</f>
        <v>0.23</v>
      </c>
      <c r="E14" s="32">
        <f xml:space="preserve">  150.13 - 36</f>
        <v>114.13</v>
      </c>
      <c r="F14" s="27">
        <v>0</v>
      </c>
      <c r="G14" s="11">
        <f>(F14)/($F$21)</f>
        <v>0</v>
      </c>
      <c r="H14" s="11">
        <f>(E14)* (G14)</f>
        <v>0</v>
      </c>
      <c r="I14">
        <f>(H14)* ($G$8)</f>
        <v>0</v>
      </c>
      <c r="J14" s="31">
        <f>(I14)*1/($H$10)</f>
        <v>0</v>
      </c>
      <c r="K14" t="s">
        <v>118</v>
      </c>
    </row>
    <row r="15" spans="1:12">
      <c r="A15" t="s">
        <v>163</v>
      </c>
      <c r="B15" s="24"/>
      <c r="C15" s="27">
        <v>23</v>
      </c>
      <c r="D15" s="11">
        <f t="shared" ref="D15:D20" si="4">(C15)/($C$21)</f>
        <v>0.23</v>
      </c>
      <c r="E15" s="26">
        <f>180.16-36</f>
        <v>144.16</v>
      </c>
      <c r="F15" s="27">
        <v>23</v>
      </c>
      <c r="G15" s="11">
        <f>(F15)/($F$21)</f>
        <v>0.35384615384615387</v>
      </c>
      <c r="H15" s="11">
        <f>(E15)* (G15)</f>
        <v>51.010461538461541</v>
      </c>
      <c r="I15" s="19">
        <f t="shared" ref="I15:I20" si="5">(H15)* ($G$8)</f>
        <v>42.277377987092279</v>
      </c>
      <c r="J15" s="31">
        <f>(I15)*1/($H$10)</f>
        <v>0.27952598512279347</v>
      </c>
      <c r="K15" t="s">
        <v>171</v>
      </c>
      <c r="L15" s="45">
        <f>((J15)*('Elemental Equation'!$E$6)*1000)/(E15)</f>
        <v>0.316832311106163</v>
      </c>
    </row>
    <row r="16" spans="1:12">
      <c r="A16" s="11" t="s">
        <v>164</v>
      </c>
      <c r="B16" s="24"/>
      <c r="C16" s="12">
        <v>11</v>
      </c>
      <c r="D16" s="11">
        <f t="shared" si="4"/>
        <v>0.11</v>
      </c>
      <c r="E16" s="28">
        <f xml:space="preserve">  180.156-36</f>
        <v>144.15600000000001</v>
      </c>
      <c r="F16" s="12">
        <v>11</v>
      </c>
      <c r="G16" s="11">
        <f>(F16)/($F$21)</f>
        <v>0.16923076923076924</v>
      </c>
      <c r="H16" s="11">
        <f>(E16)* (G16)</f>
        <v>24.39563076923077</v>
      </c>
      <c r="I16" s="19">
        <f>(H16)* ($G$8)</f>
        <v>20.219054526425957</v>
      </c>
      <c r="J16" s="31">
        <f t="shared" ref="J16:J20" si="6">(I16)*1/($H$10)</f>
        <v>0.13368263132297917</v>
      </c>
      <c r="K16" t="s">
        <v>172</v>
      </c>
      <c r="L16" s="45">
        <f>((J16)*('Elemental Equation'!$E$6)*1000)/(E16)</f>
        <v>0.15152849661599097</v>
      </c>
    </row>
    <row r="17" spans="1:12">
      <c r="A17" s="11" t="s">
        <v>165</v>
      </c>
      <c r="B17" s="24"/>
      <c r="C17" s="12">
        <v>26</v>
      </c>
      <c r="D17" s="11">
        <f t="shared" si="4"/>
        <v>0.26</v>
      </c>
      <c r="E17" s="11">
        <f>180.16-36</f>
        <v>144.16</v>
      </c>
      <c r="F17" s="12">
        <v>26</v>
      </c>
      <c r="G17" s="11">
        <f>(F17)/($F$21)</f>
        <v>0.4</v>
      </c>
      <c r="H17" s="11">
        <f>(E17)* (G17)</f>
        <v>57.664000000000001</v>
      </c>
      <c r="I17" s="19">
        <f>(H17)* ($G$8)</f>
        <v>47.791818594104313</v>
      </c>
      <c r="J17" s="31">
        <f t="shared" si="6"/>
        <v>0.3159858962257665</v>
      </c>
      <c r="K17" t="s">
        <v>173</v>
      </c>
      <c r="L17" s="45">
        <f>((J17)*('Elemental Equation'!$E$6)*1000)/(E17)</f>
        <v>0.35815826472870588</v>
      </c>
    </row>
    <row r="18" spans="1:12">
      <c r="A18" s="11" t="s">
        <v>166</v>
      </c>
      <c r="B18" s="24"/>
      <c r="C18" s="27">
        <v>5</v>
      </c>
      <c r="D18" s="11">
        <f t="shared" si="4"/>
        <v>0.05</v>
      </c>
      <c r="E18" s="40">
        <f>150.13-36</f>
        <v>114.13</v>
      </c>
      <c r="F18" s="27">
        <v>5</v>
      </c>
      <c r="G18" s="11">
        <f>(F18)/($F$21)</f>
        <v>7.6923076923076927E-2</v>
      </c>
      <c r="H18" s="11">
        <f>(E18)* (G18)</f>
        <v>8.7792307692307698</v>
      </c>
      <c r="I18" s="19">
        <f>(H18)* ($G$8)</f>
        <v>7.2762105354962507</v>
      </c>
      <c r="J18" s="31">
        <f t="shared" si="6"/>
        <v>4.8108232220938719E-2</v>
      </c>
      <c r="K18" t="s">
        <v>174</v>
      </c>
      <c r="L18" s="45">
        <f>((J18)*('Elemental Equation'!$E$6)*1000)/(E18)</f>
        <v>6.8876589370904989E-2</v>
      </c>
    </row>
    <row r="19" spans="1:12">
      <c r="A19" s="11" t="s">
        <v>167</v>
      </c>
      <c r="B19" s="24"/>
      <c r="C19" s="27">
        <v>6</v>
      </c>
      <c r="D19" s="11">
        <f t="shared" si="4"/>
        <v>0.06</v>
      </c>
      <c r="E19" s="11">
        <f>150.13 -36</f>
        <v>114.13</v>
      </c>
      <c r="F19" s="27">
        <v>0</v>
      </c>
      <c r="G19" s="11">
        <f t="shared" ref="G19:G20" si="7">(F19)/($F$21)</f>
        <v>0</v>
      </c>
      <c r="H19" s="11">
        <f t="shared" ref="H19:H20" si="8">(E19)* (G19)</f>
        <v>0</v>
      </c>
      <c r="I19">
        <f t="shared" si="5"/>
        <v>0</v>
      </c>
      <c r="J19" s="31">
        <f t="shared" si="6"/>
        <v>0</v>
      </c>
      <c r="K19" t="s">
        <v>118</v>
      </c>
    </row>
    <row r="20" spans="1:12">
      <c r="A20" s="11" t="s">
        <v>168</v>
      </c>
      <c r="B20" s="24"/>
      <c r="C20" s="27">
        <v>6</v>
      </c>
      <c r="D20" s="11">
        <f t="shared" si="4"/>
        <v>0.06</v>
      </c>
      <c r="E20" s="11">
        <f xml:space="preserve">  164.16-36</f>
        <v>128.16</v>
      </c>
      <c r="F20" s="27">
        <v>0</v>
      </c>
      <c r="G20" s="11">
        <f t="shared" si="7"/>
        <v>0</v>
      </c>
      <c r="H20" s="11">
        <f t="shared" si="8"/>
        <v>0</v>
      </c>
      <c r="I20">
        <f t="shared" si="5"/>
        <v>0</v>
      </c>
      <c r="J20" s="31">
        <f t="shared" si="6"/>
        <v>0</v>
      </c>
      <c r="K20" t="s">
        <v>118</v>
      </c>
    </row>
    <row r="21" spans="1:12">
      <c r="A21" s="11"/>
      <c r="B21" t="s">
        <v>102</v>
      </c>
      <c r="C21" s="27">
        <f>SUM(C14:C20)</f>
        <v>100</v>
      </c>
      <c r="E21" t="s">
        <v>102</v>
      </c>
      <c r="F21" s="27">
        <f>SUM(F14:F20)</f>
        <v>65</v>
      </c>
      <c r="G21" s="11"/>
      <c r="J21" s="27"/>
    </row>
    <row r="22" spans="1:12" ht="45">
      <c r="A22" s="11"/>
      <c r="E22" s="11"/>
      <c r="F22" s="11"/>
      <c r="G22" s="12" t="s">
        <v>246</v>
      </c>
      <c r="H22" s="27">
        <f>SUM(H14:H21)</f>
        <v>141.8493230769231</v>
      </c>
      <c r="I22" s="27">
        <f>SUM(I14:I21)</f>
        <v>117.5644616431188</v>
      </c>
      <c r="J22" s="27">
        <f>SUM(J14:J21)</f>
        <v>0.77730274489247786</v>
      </c>
      <c r="L22" s="44">
        <f>SUM(L15:L20)</f>
        <v>0.89539566182176478</v>
      </c>
    </row>
    <row r="23" spans="1:12">
      <c r="B23" s="25"/>
      <c r="C23" s="27"/>
      <c r="D23" s="11"/>
      <c r="E23" s="11"/>
      <c r="F23" s="27"/>
    </row>
    <row r="24" spans="1:12">
      <c r="I24" s="11"/>
    </row>
    <row r="26" spans="1:12">
      <c r="I26" t="s">
        <v>244</v>
      </c>
    </row>
    <row r="27" spans="1:12">
      <c r="I27" t="s">
        <v>243</v>
      </c>
    </row>
    <row r="33" spans="2:12" ht="45">
      <c r="C33" s="13" t="s">
        <v>57</v>
      </c>
      <c r="D33" s="13" t="s">
        <v>58</v>
      </c>
      <c r="E33" s="13" t="s">
        <v>59</v>
      </c>
      <c r="F33" s="13" t="s">
        <v>60</v>
      </c>
      <c r="G33" s="13" t="s">
        <v>184</v>
      </c>
      <c r="H33" s="13" t="s">
        <v>52</v>
      </c>
      <c r="I33" s="13" t="s">
        <v>53</v>
      </c>
      <c r="J33" s="13" t="s">
        <v>54</v>
      </c>
      <c r="K33" s="13" t="s">
        <v>55</v>
      </c>
      <c r="L33" s="13" t="s">
        <v>185</v>
      </c>
    </row>
    <row r="34" spans="2:12">
      <c r="B34" t="s">
        <v>245</v>
      </c>
      <c r="C34" s="12">
        <v>6</v>
      </c>
      <c r="D34" s="12">
        <v>12</v>
      </c>
      <c r="E34" s="12">
        <v>6</v>
      </c>
      <c r="F34" s="41">
        <v>0</v>
      </c>
      <c r="G34" s="12">
        <v>0</v>
      </c>
      <c r="H34" s="32">
        <f>(C34)*($D15)</f>
        <v>1.3800000000000001</v>
      </c>
      <c r="I34" s="32">
        <f>(D34)*($D$15)</f>
        <v>2.7600000000000002</v>
      </c>
      <c r="J34" s="32">
        <f>(E34)*($D$15)</f>
        <v>1.3800000000000001</v>
      </c>
      <c r="K34" s="32">
        <f t="shared" ref="K34:L37" si="9">(F34)*($D$15)</f>
        <v>0</v>
      </c>
      <c r="L34" s="32">
        <f t="shared" si="9"/>
        <v>0</v>
      </c>
    </row>
    <row r="35" spans="2:12">
      <c r="B35" t="s">
        <v>172</v>
      </c>
      <c r="C35" s="12">
        <v>6</v>
      </c>
      <c r="D35" s="12">
        <v>12</v>
      </c>
      <c r="E35" s="12">
        <v>6</v>
      </c>
      <c r="F35" s="41">
        <v>0</v>
      </c>
      <c r="G35" s="12">
        <v>0</v>
      </c>
      <c r="H35" s="32">
        <f t="shared" ref="H35:H36" si="10">(C35)*($D16)</f>
        <v>0.66</v>
      </c>
      <c r="I35" s="32">
        <f t="shared" ref="I35:I37" si="11">(D35)*($D$15)</f>
        <v>2.7600000000000002</v>
      </c>
      <c r="J35" s="32">
        <f>(E35)*($D$15)</f>
        <v>1.3800000000000001</v>
      </c>
      <c r="K35" s="32">
        <f t="shared" si="9"/>
        <v>0</v>
      </c>
      <c r="L35" s="32">
        <f t="shared" si="9"/>
        <v>0</v>
      </c>
    </row>
    <row r="36" spans="2:12">
      <c r="B36" t="s">
        <v>173</v>
      </c>
      <c r="C36" s="12">
        <v>6</v>
      </c>
      <c r="D36" s="12">
        <v>12</v>
      </c>
      <c r="E36" s="12">
        <v>6</v>
      </c>
      <c r="F36" s="41">
        <v>0</v>
      </c>
      <c r="G36" s="12">
        <v>0</v>
      </c>
      <c r="H36" s="32">
        <f t="shared" si="10"/>
        <v>1.56</v>
      </c>
      <c r="I36" s="32">
        <f t="shared" si="11"/>
        <v>2.7600000000000002</v>
      </c>
      <c r="J36" s="32">
        <f>(E36)*($D$15)</f>
        <v>1.3800000000000001</v>
      </c>
      <c r="K36" s="32">
        <f t="shared" si="9"/>
        <v>0</v>
      </c>
      <c r="L36" s="32">
        <f t="shared" si="9"/>
        <v>0</v>
      </c>
    </row>
    <row r="37" spans="2:12">
      <c r="B37" t="s">
        <v>174</v>
      </c>
      <c r="C37" s="12">
        <v>5</v>
      </c>
      <c r="D37" s="12">
        <v>10</v>
      </c>
      <c r="E37" s="12">
        <v>5</v>
      </c>
      <c r="F37" s="41">
        <v>0</v>
      </c>
      <c r="G37" s="12">
        <v>0</v>
      </c>
      <c r="H37" s="32">
        <f>(C37)*($D18)</f>
        <v>0.25</v>
      </c>
      <c r="I37" s="32">
        <f t="shared" si="11"/>
        <v>2.3000000000000003</v>
      </c>
      <c r="J37" s="32">
        <f>(E37)*($D$15)</f>
        <v>1.1500000000000001</v>
      </c>
      <c r="K37" s="32">
        <f t="shared" si="9"/>
        <v>0</v>
      </c>
      <c r="L37" s="32">
        <f t="shared" si="9"/>
        <v>0</v>
      </c>
    </row>
    <row r="38" spans="2:12">
      <c r="B38" s="11" t="s">
        <v>201</v>
      </c>
      <c r="C38" s="12">
        <f>SUM(C34:C37)</f>
        <v>23</v>
      </c>
      <c r="D38" s="12">
        <f t="shared" ref="D38:G38" si="12">SUM(D34:D37)</f>
        <v>46</v>
      </c>
      <c r="E38" s="12">
        <f t="shared" si="12"/>
        <v>23</v>
      </c>
      <c r="F38" s="12">
        <f t="shared" si="12"/>
        <v>0</v>
      </c>
      <c r="G38" s="12">
        <f t="shared" si="12"/>
        <v>0</v>
      </c>
      <c r="H38" s="32">
        <f>($G$8)*SUM(H34:H37)</f>
        <v>3.1908730158730161</v>
      </c>
      <c r="I38" s="32">
        <f>($G$8)*SUM(I34:I37)</f>
        <v>8.7686848072562373</v>
      </c>
      <c r="J38" s="32">
        <f>($G$8)*SUM(J34:J37)</f>
        <v>4.3843424036281187</v>
      </c>
      <c r="K38" s="32">
        <f t="shared" ref="K38" si="13">($G$8)*SUM(K34:K37)</f>
        <v>0</v>
      </c>
      <c r="L38" s="32">
        <f t="shared" ref="L38" si="14">($G$7)*SUM(L34:L37)</f>
        <v>0</v>
      </c>
    </row>
    <row r="41" spans="2:12">
      <c r="C41" s="12"/>
      <c r="D41" s="12"/>
      <c r="E41" s="12"/>
      <c r="F41" s="41"/>
      <c r="G41" s="12"/>
      <c r="H41" s="32"/>
      <c r="I41" s="32"/>
      <c r="J41" s="32"/>
      <c r="K41" s="32"/>
      <c r="L41" s="32"/>
    </row>
    <row r="42" spans="2:12">
      <c r="C42" s="12"/>
      <c r="D42" s="12"/>
      <c r="E42" s="12"/>
      <c r="F42" s="41"/>
      <c r="G42" s="12"/>
      <c r="H42" s="32"/>
      <c r="I42" s="32"/>
      <c r="J42" s="32"/>
      <c r="K42" s="32"/>
      <c r="L42" s="32"/>
    </row>
    <row r="43" spans="2:12">
      <c r="C43" s="12"/>
      <c r="D43" s="12"/>
      <c r="E43" s="12"/>
      <c r="F43" s="41"/>
      <c r="G43" s="12"/>
      <c r="H43" s="32"/>
      <c r="I43" s="32"/>
      <c r="J43" s="32"/>
      <c r="K43" s="32"/>
      <c r="L43" s="32"/>
    </row>
    <row r="44" spans="2:12">
      <c r="C44" s="12"/>
      <c r="D44" s="12"/>
      <c r="E44" s="12"/>
      <c r="F44" s="41"/>
      <c r="G44" s="12"/>
      <c r="H44" s="32"/>
      <c r="I44" s="32"/>
      <c r="J44" s="32"/>
      <c r="K44" s="32"/>
      <c r="L44" s="32"/>
    </row>
    <row r="45" spans="2:12">
      <c r="C45" s="12"/>
      <c r="D45" s="12"/>
      <c r="E45" s="12"/>
      <c r="F45" s="41"/>
      <c r="G45" s="12"/>
      <c r="H45" s="32"/>
      <c r="I45" s="32"/>
      <c r="J45" s="32"/>
      <c r="K45" s="32"/>
      <c r="L45" s="32"/>
    </row>
    <row r="46" spans="2:12">
      <c r="B46" s="11"/>
      <c r="C46" s="12"/>
      <c r="D46" s="12"/>
      <c r="E46" s="12"/>
      <c r="F46" s="12"/>
      <c r="G46" s="12"/>
      <c r="H46" s="32"/>
      <c r="I46" s="32"/>
      <c r="J46" s="32"/>
      <c r="K46" s="32"/>
      <c r="L46" s="32"/>
    </row>
    <row r="49" spans="2:12">
      <c r="B49" s="2" t="s">
        <v>199</v>
      </c>
      <c r="C49" s="12">
        <v>8</v>
      </c>
      <c r="D49" s="12">
        <v>13</v>
      </c>
      <c r="E49" s="12">
        <v>5</v>
      </c>
      <c r="F49" s="41">
        <v>1</v>
      </c>
      <c r="G49" s="12">
        <v>0</v>
      </c>
      <c r="H49" s="32">
        <f>(C49)*($G$3)</f>
        <v>1.2879818594104309</v>
      </c>
      <c r="I49" s="32">
        <f t="shared" ref="I49:L49" si="15">(D49)*($G$3)</f>
        <v>2.0929705215419503</v>
      </c>
      <c r="J49" s="32">
        <f t="shared" si="15"/>
        <v>0.80498866213151932</v>
      </c>
      <c r="K49" s="32">
        <f>(F49)*($G$3)</f>
        <v>0.16099773242630386</v>
      </c>
      <c r="L49" s="32">
        <f t="shared" si="15"/>
        <v>0</v>
      </c>
    </row>
    <row r="50" spans="2:12">
      <c r="B50" s="11"/>
      <c r="C50" s="12"/>
      <c r="D50" s="12"/>
      <c r="E50" s="12"/>
      <c r="F50" s="41"/>
      <c r="G50" s="12"/>
      <c r="H50" s="32"/>
      <c r="I50" s="32"/>
      <c r="J50" s="32"/>
      <c r="K50" s="32"/>
      <c r="L50" s="32"/>
    </row>
    <row r="51" spans="2:12">
      <c r="B51" s="11"/>
      <c r="C51" s="11"/>
      <c r="D51" s="11"/>
      <c r="E51" s="11"/>
      <c r="F51" s="11"/>
      <c r="G51" s="11"/>
    </row>
    <row r="52" spans="2:12">
      <c r="B52" s="2" t="s">
        <v>200</v>
      </c>
      <c r="C52" s="12">
        <f>SUM(C50:C51)</f>
        <v>0</v>
      </c>
      <c r="D52" s="12">
        <v>1</v>
      </c>
      <c r="E52" s="12">
        <f t="shared" ref="E52" si="16">SUM(E50:E51)</f>
        <v>0</v>
      </c>
      <c r="F52" s="12">
        <v>4</v>
      </c>
      <c r="G52" s="12">
        <v>1</v>
      </c>
      <c r="H52" s="32">
        <f>(C52)*($G$7)</f>
        <v>0</v>
      </c>
      <c r="I52" s="32">
        <f>(D52)*($G$7)</f>
        <v>1.0204081632653062E-2</v>
      </c>
      <c r="J52" s="32">
        <f t="shared" ref="J52" si="17">(E52)*($G$7)</f>
        <v>0</v>
      </c>
      <c r="K52" s="32">
        <f>(F52)*($G$7)</f>
        <v>4.0816326530612249E-2</v>
      </c>
      <c r="L52" s="32">
        <f>(G52)*($G$7)</f>
        <v>1.0204081632653062E-2</v>
      </c>
    </row>
    <row r="54" spans="2:12">
      <c r="B54" s="11"/>
      <c r="C54" s="12"/>
      <c r="D54" s="12"/>
      <c r="E54" s="12"/>
      <c r="F54" s="41"/>
      <c r="G54" s="12"/>
      <c r="H54" s="32"/>
      <c r="I54" s="32"/>
      <c r="J54" s="32"/>
      <c r="K54" s="32"/>
      <c r="L54" s="32"/>
    </row>
    <row r="55" spans="2:12">
      <c r="B55" s="11"/>
      <c r="C55" s="11"/>
      <c r="D55" s="11"/>
      <c r="E55" s="11"/>
      <c r="F55" s="11"/>
      <c r="G55" s="11"/>
    </row>
    <row r="56" spans="2:12">
      <c r="B56" s="11"/>
      <c r="C56" s="12"/>
      <c r="D56" s="12"/>
      <c r="E56" s="12"/>
      <c r="F56" s="12"/>
      <c r="G56" s="12"/>
      <c r="H56" s="32"/>
      <c r="I56" s="32"/>
      <c r="J56" s="32"/>
      <c r="K56" s="32"/>
      <c r="L56" s="32"/>
    </row>
    <row r="58" spans="2:12" ht="45">
      <c r="B58" s="13" t="s">
        <v>252</v>
      </c>
      <c r="C58" s="11">
        <f>SUM((C52),(C38),(C49),(C56))</f>
        <v>31</v>
      </c>
      <c r="D58" s="11">
        <f>SUM((D52),(D38),(D49),(D56))</f>
        <v>60</v>
      </c>
      <c r="E58" s="11">
        <f>SUM((E52),(E38),(E49),(E56))</f>
        <v>28</v>
      </c>
      <c r="F58" s="11">
        <f>SUM((F52),(F38),(F49),(F56))</f>
        <v>5</v>
      </c>
      <c r="G58" s="11">
        <f>SUM((G52),(G38),(G49),(G56))</f>
        <v>1</v>
      </c>
      <c r="H58" s="11">
        <f>SUM((H52),(H38),(H49))</f>
        <v>4.4788548752834467</v>
      </c>
      <c r="I58" s="11">
        <f>SUM((I52),(I38),(I49))</f>
        <v>10.87185941043084</v>
      </c>
      <c r="J58" s="11">
        <f t="shared" ref="J58:L58" si="18">SUM((J52),(J38),(J49))</f>
        <v>5.1893310657596379</v>
      </c>
      <c r="K58" s="11">
        <f t="shared" si="18"/>
        <v>0.20181405895691612</v>
      </c>
      <c r="L58" s="11">
        <f t="shared" si="18"/>
        <v>1.0204081632653062E-2</v>
      </c>
    </row>
    <row r="59" spans="2:12">
      <c r="C59" s="32"/>
      <c r="D59" s="32"/>
      <c r="E59" s="32"/>
      <c r="F59" s="32"/>
      <c r="G59" s="32" t="s">
        <v>62</v>
      </c>
      <c r="H59" s="32">
        <f>(H58)/($H$58)</f>
        <v>1</v>
      </c>
      <c r="I59" s="32">
        <f>(I58)/($H$58)</f>
        <v>2.4273747895756075</v>
      </c>
      <c r="J59" s="32">
        <f>(J58)/($H$58)</f>
        <v>1.1586289822420799</v>
      </c>
      <c r="K59" s="32">
        <f>(K58)/($H$58)</f>
        <v>4.5059298543167065E-2</v>
      </c>
      <c r="L59" s="32">
        <f>(L58)/($H$58)</f>
        <v>2.278279139823054E-3</v>
      </c>
    </row>
  </sheetData>
  <mergeCells count="1">
    <mergeCell ref="B1:C1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Z48"/>
  <sheetViews>
    <sheetView zoomScale="70" zoomScaleNormal="70" workbookViewId="0">
      <selection activeCell="B5" sqref="B5"/>
    </sheetView>
  </sheetViews>
  <sheetFormatPr baseColWidth="10" defaultRowHeight="15"/>
  <cols>
    <col min="4" max="4" width="12.85546875" customWidth="1"/>
    <col min="5" max="5" width="36" customWidth="1"/>
    <col min="12" max="12" width="46" customWidth="1"/>
    <col min="13" max="13" width="26" customWidth="1"/>
  </cols>
  <sheetData>
    <row r="1" spans="1:26" ht="110.25" customHeight="1">
      <c r="A1" s="59"/>
      <c r="B1" s="59"/>
      <c r="C1" s="59"/>
      <c r="D1" s="41" t="s">
        <v>212</v>
      </c>
      <c r="E1" s="2" t="s">
        <v>231</v>
      </c>
      <c r="F1" s="32" t="s">
        <v>6</v>
      </c>
      <c r="G1" s="32" t="s">
        <v>10</v>
      </c>
      <c r="H1" s="32" t="s">
        <v>202</v>
      </c>
      <c r="I1" s="32" t="s">
        <v>203</v>
      </c>
      <c r="J1" s="32" t="s">
        <v>16</v>
      </c>
      <c r="K1" s="32" t="s">
        <v>17</v>
      </c>
      <c r="L1" s="59"/>
      <c r="M1" s="2" t="s">
        <v>228</v>
      </c>
      <c r="N1" s="32" t="s">
        <v>6</v>
      </c>
      <c r="O1" s="32" t="s">
        <v>10</v>
      </c>
      <c r="P1" s="32" t="s">
        <v>202</v>
      </c>
      <c r="Q1" s="32" t="s">
        <v>203</v>
      </c>
      <c r="R1" s="32" t="s">
        <v>16</v>
      </c>
      <c r="S1" s="32" t="s">
        <v>17</v>
      </c>
      <c r="T1" s="2" t="s">
        <v>227</v>
      </c>
      <c r="U1" s="32" t="s">
        <v>6</v>
      </c>
      <c r="V1" s="32" t="s">
        <v>10</v>
      </c>
      <c r="W1" s="32" t="s">
        <v>202</v>
      </c>
      <c r="X1" s="32" t="s">
        <v>203</v>
      </c>
      <c r="Y1" s="32" t="s">
        <v>16</v>
      </c>
      <c r="Z1" s="32" t="s">
        <v>17</v>
      </c>
    </row>
    <row r="2" spans="1:26">
      <c r="A2" t="s">
        <v>152</v>
      </c>
      <c r="B2">
        <v>0.30180000000000001</v>
      </c>
      <c r="C2" s="11" t="s">
        <v>118</v>
      </c>
      <c r="E2">
        <v>0.30180000000000001</v>
      </c>
      <c r="F2" s="11">
        <v>1</v>
      </c>
      <c r="G2" s="11">
        <v>2.0025295526267657</v>
      </c>
      <c r="H2" s="11">
        <v>0.52029269378431398</v>
      </c>
      <c r="I2" s="11">
        <v>0.288548025380642</v>
      </c>
      <c r="J2" s="11">
        <v>0</v>
      </c>
      <c r="K2" s="11">
        <v>6.2645988578564496E-3</v>
      </c>
      <c r="M2">
        <v>0.28999999999999998</v>
      </c>
      <c r="N2" s="11">
        <v>1</v>
      </c>
      <c r="O2" s="11">
        <v>2.0025295526267657</v>
      </c>
      <c r="P2" s="11">
        <v>0.52029269378431398</v>
      </c>
      <c r="Q2" s="11">
        <v>0.288548025380642</v>
      </c>
      <c r="R2" s="11">
        <v>0</v>
      </c>
      <c r="S2" s="11">
        <v>6.2645988578564496E-3</v>
      </c>
      <c r="T2">
        <v>0.30009999999999998</v>
      </c>
      <c r="U2" s="11">
        <v>1</v>
      </c>
      <c r="V2" s="11">
        <v>2.0025295526267657</v>
      </c>
      <c r="W2" s="11">
        <v>0.52029269378431398</v>
      </c>
      <c r="X2" s="11">
        <v>0.288548025380642</v>
      </c>
      <c r="Y2" s="11">
        <v>0</v>
      </c>
      <c r="Z2" s="11">
        <v>6.2645988578564496E-3</v>
      </c>
    </row>
    <row r="3" spans="1:26">
      <c r="A3" t="s">
        <v>206</v>
      </c>
      <c r="B3">
        <v>3.0000000000000001E-3</v>
      </c>
      <c r="C3" s="11" t="s">
        <v>20</v>
      </c>
      <c r="E3">
        <v>3.0000000000000001E-3</v>
      </c>
      <c r="F3" s="11">
        <v>1</v>
      </c>
      <c r="G3" s="11">
        <v>1.2569415269716908</v>
      </c>
      <c r="H3" s="11">
        <v>0.61665966473205702</v>
      </c>
      <c r="I3" s="11">
        <v>0.38748424564712802</v>
      </c>
      <c r="J3" s="11">
        <v>0.102776610788676</v>
      </c>
      <c r="K3" s="11">
        <v>0</v>
      </c>
      <c r="M3">
        <v>3.0000000000000001E-3</v>
      </c>
      <c r="N3" s="11">
        <v>1</v>
      </c>
      <c r="O3" s="11">
        <v>1.2569415269716908</v>
      </c>
      <c r="P3" s="11">
        <v>0.61665966473205702</v>
      </c>
      <c r="Q3" s="11">
        <v>0.38748424564712802</v>
      </c>
      <c r="R3" s="11">
        <v>0.102776610788676</v>
      </c>
      <c r="S3" s="11">
        <v>0</v>
      </c>
      <c r="T3">
        <v>3.0000000000000001E-3</v>
      </c>
      <c r="U3" s="11">
        <v>1</v>
      </c>
      <c r="V3" s="11">
        <v>1.2569415269716908</v>
      </c>
      <c r="W3" s="11">
        <v>0.61665966473205702</v>
      </c>
      <c r="X3" s="11">
        <v>0.38748424564712802</v>
      </c>
      <c r="Y3" s="11">
        <v>0.102776610788676</v>
      </c>
      <c r="Z3" s="11">
        <v>0</v>
      </c>
    </row>
    <row r="4" spans="1:26">
      <c r="A4" t="s">
        <v>207</v>
      </c>
      <c r="B4">
        <v>0.1</v>
      </c>
      <c r="C4" s="11" t="s">
        <v>210</v>
      </c>
      <c r="E4">
        <v>0.1</v>
      </c>
      <c r="F4" s="11">
        <v>1</v>
      </c>
      <c r="G4" s="11">
        <v>1.238964188727472</v>
      </c>
      <c r="H4" s="11">
        <v>0.84210526315789502</v>
      </c>
      <c r="I4" s="11">
        <v>0.39685892556957703</v>
      </c>
      <c r="J4" s="11">
        <v>0.105263157894737</v>
      </c>
      <c r="K4" s="11">
        <v>0</v>
      </c>
      <c r="M4">
        <v>0.1</v>
      </c>
      <c r="N4" s="11">
        <v>1</v>
      </c>
      <c r="O4" s="11">
        <v>1.238964188727472</v>
      </c>
      <c r="P4" s="11">
        <v>0.84210526315789502</v>
      </c>
      <c r="Q4" s="11">
        <v>0.39685892556957703</v>
      </c>
      <c r="R4" s="11">
        <v>0.105263157894737</v>
      </c>
      <c r="S4" s="11">
        <v>0</v>
      </c>
      <c r="T4">
        <v>0.1</v>
      </c>
      <c r="U4" s="11">
        <v>1</v>
      </c>
      <c r="V4" s="11">
        <v>1.238964188727472</v>
      </c>
      <c r="W4" s="11">
        <v>0.84210526315789502</v>
      </c>
      <c r="X4" s="11">
        <v>0.39685892556957703</v>
      </c>
      <c r="Y4" s="11">
        <v>0.105263157894737</v>
      </c>
      <c r="Z4" s="11">
        <v>0</v>
      </c>
    </row>
    <row r="5" spans="1:26">
      <c r="A5" t="s">
        <v>208</v>
      </c>
      <c r="B5">
        <v>0.40110000000000001</v>
      </c>
      <c r="C5" s="11" t="s">
        <v>2</v>
      </c>
      <c r="E5">
        <v>0.40110000000000001</v>
      </c>
      <c r="F5" s="11">
        <v>1</v>
      </c>
      <c r="G5" s="11">
        <v>1.78341365707656</v>
      </c>
      <c r="H5" s="11">
        <v>0.139959734560204</v>
      </c>
      <c r="I5" s="11">
        <v>4.7750382306754602E-3</v>
      </c>
      <c r="J5" s="11">
        <v>4.7750382306754602E-3</v>
      </c>
      <c r="K5" s="11">
        <v>0</v>
      </c>
      <c r="M5">
        <v>0.4047</v>
      </c>
      <c r="N5" s="11">
        <v>1</v>
      </c>
      <c r="O5" s="11">
        <v>1.78341365707656</v>
      </c>
      <c r="P5" s="11">
        <v>0.139959734560204</v>
      </c>
      <c r="Q5" s="11">
        <v>4.7750382306754602E-3</v>
      </c>
      <c r="R5" s="11">
        <v>4.7750382306754602E-3</v>
      </c>
      <c r="S5" s="11">
        <v>0</v>
      </c>
      <c r="T5">
        <v>0.40229999999999999</v>
      </c>
      <c r="U5" s="11">
        <v>1</v>
      </c>
      <c r="V5" s="11">
        <v>1.78341365707656</v>
      </c>
      <c r="W5" s="11">
        <v>0.139959734560204</v>
      </c>
      <c r="X5" s="11">
        <v>4.7750382306754602E-3</v>
      </c>
      <c r="Y5" s="11">
        <v>4.7750382306754602E-3</v>
      </c>
      <c r="Z5" s="11">
        <v>0</v>
      </c>
    </row>
    <row r="6" spans="1:26">
      <c r="A6" t="s">
        <v>209</v>
      </c>
      <c r="B6">
        <v>0.16339999999999999</v>
      </c>
      <c r="C6" s="11" t="s">
        <v>211</v>
      </c>
      <c r="E6">
        <v>0.16339999999999999</v>
      </c>
      <c r="F6" s="11">
        <v>1</v>
      </c>
      <c r="G6" s="11">
        <v>2.4273747895756101</v>
      </c>
      <c r="H6" s="11">
        <v>1.1586289822420801</v>
      </c>
      <c r="I6" s="11">
        <v>4.5059298543167099E-2</v>
      </c>
      <c r="J6" s="11">
        <v>2.2782791398230501E-3</v>
      </c>
      <c r="K6" s="11">
        <v>0</v>
      </c>
      <c r="M6">
        <v>0.1653</v>
      </c>
      <c r="N6" s="11">
        <v>1</v>
      </c>
      <c r="O6" s="11">
        <v>2.4273747895756101</v>
      </c>
      <c r="P6" s="11">
        <v>1.1586289822420801</v>
      </c>
      <c r="Q6" s="11">
        <v>4.5059298543167099E-2</v>
      </c>
      <c r="R6" s="11">
        <v>2.2782791398230501E-3</v>
      </c>
      <c r="S6" s="11">
        <v>0</v>
      </c>
      <c r="T6">
        <v>0.16389999999999999</v>
      </c>
      <c r="U6" s="11">
        <v>1</v>
      </c>
      <c r="V6" s="11">
        <v>2.4273747895756101</v>
      </c>
      <c r="W6" s="11">
        <v>1.1586289822420801</v>
      </c>
      <c r="X6" s="11">
        <v>4.5059298543167099E-2</v>
      </c>
      <c r="Y6" s="11">
        <v>2.2782791398230501E-3</v>
      </c>
      <c r="Z6" s="11">
        <v>0</v>
      </c>
    </row>
    <row r="7" spans="1:26">
      <c r="A7" t="s">
        <v>214</v>
      </c>
      <c r="C7" s="11"/>
      <c r="E7">
        <f>1-SUM(E2:E6)</f>
        <v>3.069999999999995E-2</v>
      </c>
      <c r="F7" s="11"/>
      <c r="G7" s="11"/>
      <c r="H7" s="11"/>
      <c r="I7" s="11"/>
      <c r="J7" s="11"/>
      <c r="K7" s="11"/>
    </row>
    <row r="8" spans="1:26">
      <c r="D8" s="11"/>
      <c r="F8" s="11"/>
      <c r="G8" s="11"/>
      <c r="H8" s="11"/>
      <c r="I8" s="11"/>
      <c r="J8" s="11"/>
      <c r="K8" s="11"/>
    </row>
    <row r="9" spans="1:26" ht="50.25" customHeight="1">
      <c r="A9" t="s">
        <v>213</v>
      </c>
      <c r="D9" s="42">
        <f>SUM(D2:D7)</f>
        <v>0</v>
      </c>
      <c r="F9" s="11">
        <f t="shared" ref="F9:K9" si="0">((F2)*($E$2))+((F3)*($E$3))+((F4)*($E$4))+((F5)*($E$5))+((F6)*($E$6))</f>
        <v>0.96930000000000005</v>
      </c>
      <c r="G9" s="11">
        <f t="shared" si="0"/>
        <v>1.8439909209064831</v>
      </c>
      <c r="H9" s="11">
        <f t="shared" si="0"/>
        <v>0.48854266552454539</v>
      </c>
      <c r="I9" s="11">
        <f t="shared" si="0"/>
        <v>0.13721009657005426</v>
      </c>
      <c r="J9" s="11">
        <f t="shared" si="0"/>
        <v>1.3122184267610743E-2</v>
      </c>
      <c r="K9" s="11">
        <f t="shared" si="0"/>
        <v>1.8906559353010766E-3</v>
      </c>
      <c r="L9" s="2" t="s">
        <v>222</v>
      </c>
      <c r="N9" s="11">
        <f>((N2)*($M$2))+((N3)*($M$3))+((N4)*($M$4))+((N5)*($M$5))+((N6)*($M$6))</f>
        <v>0.96300000000000008</v>
      </c>
      <c r="O9" s="11">
        <f t="shared" ref="O9:Q9" si="1">((O2)*($M$2))+((O3)*($M$3))+((O4)*($M$4))+((O5)*($M$5))+((O6)*($M$6))</f>
        <v>1.8313933734511563</v>
      </c>
      <c r="P9" s="11">
        <f t="shared" si="1"/>
        <v>0.48510846184856715</v>
      </c>
      <c r="Q9" s="11">
        <f t="shared" si="1"/>
        <v>0.13390803267542514</v>
      </c>
      <c r="R9" s="11">
        <f>((R2)*($M$2))+((R3)*($M$3))+((R4)*($M$4))+((R5)*($M$5))+((R6)*($M$6))</f>
        <v>1.314370313560684E-2</v>
      </c>
      <c r="S9" s="11">
        <f>((S2)*($M$2))+((S3)*($M$3))+((S4)*($M$4))+((S5)*($M$5))+((S6)*($M$6))</f>
        <v>1.8167336687783702E-3</v>
      </c>
      <c r="T9" s="11"/>
      <c r="U9" s="11">
        <f>((U2)*($T$2))+((U3)*($T$3))+((U4)*($T$4))+((U5)*($T$5))+((U6)*($T$6))</f>
        <v>0.96930000000000005</v>
      </c>
      <c r="V9" s="11">
        <f>((V2)*($T$2))+((V3)*($T$3))+((V4)*($T$4))+((V5)*($T$5))+((V6)*($T$6))</f>
        <v>1.8439404044502972</v>
      </c>
      <c r="W9" s="11">
        <f>((W2)*($T$2))+((W3)*($T$3))+((W4)*($T$4))+((W5)*($T$5))+((W6)*($T$6))</f>
        <v>0.48840543411770532</v>
      </c>
      <c r="X9" s="11">
        <f>((X2)*($T$2))+((X3)*($T$3))+((X4)*($T$4))+((X5)*($T$5))+((X6)*($T$6))</f>
        <v>0.13674782462205554</v>
      </c>
      <c r="Y9" s="11">
        <f>((Y2)*($T$2))+((Y3)*($T$3))+((Y4)*($T$4))+((Y5)*($T$5))+((Y6)*($T$6))</f>
        <v>1.3129053453057465E-2</v>
      </c>
      <c r="Z9" s="11">
        <f t="shared" ref="Z9" si="2">((Z2)*($T$2))+((Z3)*($T$3))+((Z4)*($T$4))+((Z5)*($T$5))+((Z6)*($T$6))</f>
        <v>1.8800061172427203E-3</v>
      </c>
    </row>
    <row r="10" spans="1:26" ht="46.5" customHeight="1">
      <c r="A10" t="s">
        <v>223</v>
      </c>
      <c r="F10" s="11">
        <v>0.96299999999999997</v>
      </c>
      <c r="G10" s="11">
        <v>1.83139337345116</v>
      </c>
      <c r="H10" s="11">
        <v>0.48510846184856715</v>
      </c>
      <c r="I10" s="11">
        <v>0.13390803267542514</v>
      </c>
      <c r="J10" s="11">
        <v>1.31437031356068E-2</v>
      </c>
      <c r="K10" s="11">
        <v>1.8167336687783702E-3</v>
      </c>
      <c r="M10" s="12" t="s">
        <v>229</v>
      </c>
      <c r="N10" s="11" t="s">
        <v>6</v>
      </c>
      <c r="O10" s="11" t="s">
        <v>10</v>
      </c>
      <c r="P10" s="11" t="s">
        <v>202</v>
      </c>
      <c r="Q10" s="11" t="s">
        <v>203</v>
      </c>
      <c r="R10" s="11" t="s">
        <v>16</v>
      </c>
      <c r="S10" s="11" t="s">
        <v>17</v>
      </c>
      <c r="T10" s="12" t="s">
        <v>230</v>
      </c>
      <c r="U10" s="11" t="s">
        <v>6</v>
      </c>
      <c r="V10" s="11" t="s">
        <v>10</v>
      </c>
      <c r="W10" s="11" t="s">
        <v>202</v>
      </c>
      <c r="X10" s="11" t="s">
        <v>203</v>
      </c>
      <c r="Y10" s="11" t="s">
        <v>16</v>
      </c>
      <c r="Z10" s="11" t="s">
        <v>17</v>
      </c>
    </row>
    <row r="11" spans="1:26">
      <c r="A11" t="s">
        <v>224</v>
      </c>
      <c r="F11" s="11">
        <v>0.96930000000000005</v>
      </c>
      <c r="G11" s="11">
        <v>1.8439404044502972</v>
      </c>
      <c r="H11" s="11">
        <v>0.48840543411770532</v>
      </c>
      <c r="I11" s="11">
        <v>0.13674782462205554</v>
      </c>
      <c r="J11" s="11">
        <v>1.3129053453057465E-2</v>
      </c>
      <c r="K11" s="11">
        <v>1.8800061172427203E-3</v>
      </c>
      <c r="M11">
        <v>0.30009999999999998</v>
      </c>
      <c r="N11" s="11">
        <v>1</v>
      </c>
      <c r="O11" s="11">
        <v>2.0025295526267657</v>
      </c>
      <c r="P11" s="11">
        <v>0.52029269378431398</v>
      </c>
      <c r="Q11" s="11">
        <v>0.288548025380642</v>
      </c>
      <c r="R11" s="11">
        <v>0</v>
      </c>
      <c r="S11" s="11">
        <v>6.2645988578564496E-3</v>
      </c>
      <c r="T11">
        <v>0.2974</v>
      </c>
      <c r="U11" s="11">
        <v>1</v>
      </c>
      <c r="V11" s="11">
        <v>2.0025295526267657</v>
      </c>
      <c r="W11" s="11">
        <v>0.52029269378431398</v>
      </c>
      <c r="X11" s="11">
        <v>0.288548025380642</v>
      </c>
      <c r="Y11" s="11">
        <v>0</v>
      </c>
      <c r="Z11" s="11">
        <v>6.2645988578564496E-3</v>
      </c>
    </row>
    <row r="12" spans="1:26">
      <c r="A12" t="s">
        <v>225</v>
      </c>
      <c r="F12" s="11">
        <v>0.96930000000000005</v>
      </c>
      <c r="G12" s="11">
        <v>1.8441335927900471</v>
      </c>
      <c r="H12" s="11">
        <v>0.48871103489200984</v>
      </c>
      <c r="I12" s="11">
        <v>0.1367599099001493</v>
      </c>
      <c r="J12" s="11">
        <v>1.3128304425330209E-2</v>
      </c>
      <c r="K12" s="11">
        <v>1.8800061172427203E-3</v>
      </c>
      <c r="M12">
        <v>3.0000000000000001E-3</v>
      </c>
      <c r="N12" s="11">
        <v>1</v>
      </c>
      <c r="O12" s="11">
        <v>1.2569415269716908</v>
      </c>
      <c r="P12" s="11">
        <v>0.61665966473205702</v>
      </c>
      <c r="Q12" s="11">
        <v>0.38748424564712802</v>
      </c>
      <c r="R12" s="11">
        <v>0.102776610788676</v>
      </c>
      <c r="S12" s="11">
        <v>0</v>
      </c>
      <c r="T12">
        <v>3.0000000000000001E-3</v>
      </c>
      <c r="U12" s="11">
        <v>1</v>
      </c>
      <c r="V12" s="11">
        <v>1.2569415269716908</v>
      </c>
      <c r="W12" s="11">
        <v>0.61665966473205702</v>
      </c>
      <c r="X12" s="11">
        <v>0.38748424564712802</v>
      </c>
      <c r="Y12" s="11">
        <v>0.102776610788676</v>
      </c>
      <c r="Z12" s="11">
        <v>0</v>
      </c>
    </row>
    <row r="13" spans="1:26">
      <c r="A13" t="s">
        <v>226</v>
      </c>
      <c r="F13" s="11">
        <v>0.96909999999999996</v>
      </c>
      <c r="G13" s="11">
        <v>1.8440224466128949</v>
      </c>
      <c r="H13" s="11">
        <v>0.48898041397717917</v>
      </c>
      <c r="I13" s="11">
        <v>0.1360451373656045</v>
      </c>
      <c r="J13" s="11">
        <v>1.3136996234088788E-2</v>
      </c>
      <c r="K13" s="11">
        <v>1.863091700326508E-3</v>
      </c>
      <c r="M13">
        <v>0.1</v>
      </c>
      <c r="N13" s="11">
        <v>1</v>
      </c>
      <c r="O13" s="11">
        <v>1.238964188727472</v>
      </c>
      <c r="P13" s="11">
        <v>0.84210526315789502</v>
      </c>
      <c r="Q13" s="11">
        <v>0.39685892556957703</v>
      </c>
      <c r="R13" s="11">
        <v>0.105263157894737</v>
      </c>
      <c r="S13" s="11">
        <v>0</v>
      </c>
      <c r="T13">
        <v>0.1</v>
      </c>
      <c r="U13" s="11">
        <v>1</v>
      </c>
      <c r="V13" s="11">
        <v>1.238964188727472</v>
      </c>
      <c r="W13" s="11">
        <v>0.84210526315789502</v>
      </c>
      <c r="X13" s="11">
        <v>0.39685892556957703</v>
      </c>
      <c r="Y13" s="11">
        <v>0.105263157894737</v>
      </c>
      <c r="Z13" s="11">
        <v>0</v>
      </c>
    </row>
    <row r="14" spans="1:26">
      <c r="M14">
        <v>0.40200000000000002</v>
      </c>
      <c r="N14" s="11">
        <v>1</v>
      </c>
      <c r="O14" s="11">
        <v>1.78341365707656</v>
      </c>
      <c r="P14" s="11">
        <v>0.139959734560204</v>
      </c>
      <c r="Q14" s="11">
        <v>4.7750382306754602E-3</v>
      </c>
      <c r="R14" s="11">
        <v>4.7750382306754602E-3</v>
      </c>
      <c r="S14" s="11">
        <v>0</v>
      </c>
      <c r="T14">
        <v>0.4032</v>
      </c>
      <c r="U14" s="11">
        <v>1</v>
      </c>
      <c r="V14" s="11">
        <v>1.78341365707656</v>
      </c>
      <c r="W14" s="11">
        <v>0.139959734560204</v>
      </c>
      <c r="X14" s="11">
        <v>4.7750382306754602E-3</v>
      </c>
      <c r="Y14" s="11">
        <v>4.7750382306754602E-3</v>
      </c>
      <c r="Z14" s="11">
        <v>0</v>
      </c>
    </row>
    <row r="15" spans="1:26">
      <c r="M15">
        <v>0.16420000000000001</v>
      </c>
      <c r="N15" s="11">
        <v>1</v>
      </c>
      <c r="O15" s="11">
        <v>2.4273747895756101</v>
      </c>
      <c r="P15" s="11">
        <v>1.1586289822420801</v>
      </c>
      <c r="Q15" s="11">
        <v>4.5059298543167099E-2</v>
      </c>
      <c r="R15" s="11">
        <v>2.2782791398230501E-3</v>
      </c>
      <c r="S15" s="11">
        <v>0</v>
      </c>
      <c r="T15">
        <v>0.16550000000000001</v>
      </c>
      <c r="U15" s="11">
        <v>1</v>
      </c>
      <c r="V15" s="11">
        <v>2.4273747895756101</v>
      </c>
      <c r="W15" s="11">
        <v>1.1586289822420801</v>
      </c>
      <c r="X15" s="11">
        <v>4.5059298543167099E-2</v>
      </c>
      <c r="Y15" s="11">
        <v>2.2782791398230501E-3</v>
      </c>
      <c r="Z15" s="11">
        <v>0</v>
      </c>
    </row>
    <row r="18" spans="1:26" ht="60">
      <c r="A18" s="12" t="s">
        <v>204</v>
      </c>
      <c r="D18" s="11"/>
      <c r="F18" s="11">
        <v>1</v>
      </c>
      <c r="G18" s="11">
        <v>1.8260000000000001</v>
      </c>
      <c r="H18" s="11">
        <v>0.5</v>
      </c>
      <c r="I18" s="11">
        <v>0.13600000000000001</v>
      </c>
      <c r="J18" s="11">
        <v>1.2E-2</v>
      </c>
      <c r="K18" s="11">
        <v>3.0000000000000001E-3</v>
      </c>
      <c r="N18" s="11">
        <f>((N11)*($M$11))+((N12)*($M$12))+((N13)*($M$13))+((N14)*($M$14))+((N15)*($M$15))</f>
        <v>0.96930000000000005</v>
      </c>
      <c r="O18" s="11">
        <f>((O11)*($M$11))+((O12)*($M$12))+((O13)*($M$13))+((O14)*($M$14))+((O15)*($M$15))</f>
        <v>1.8441335927900471</v>
      </c>
      <c r="P18" s="11">
        <f t="shared" ref="P18:R18" si="3">((P11)*($M$11))+((P12)*($M$12))+((P13)*($M$13))+((P14)*($M$14))+((P15)*($M$15))</f>
        <v>0.48871103489200984</v>
      </c>
      <c r="Q18" s="11">
        <f t="shared" si="3"/>
        <v>0.1367599099001493</v>
      </c>
      <c r="R18" s="11">
        <f t="shared" si="3"/>
        <v>1.3128304425330209E-2</v>
      </c>
      <c r="S18" s="11">
        <f>((S11)*($M$11))+((S12)*($M$12))+((S13)*($M$13))+((S14)*($M$14))+((S15)*($M$15))</f>
        <v>1.8800061172427203E-3</v>
      </c>
      <c r="U18" s="11">
        <f>((U11)*($T$11))+((U12)*($T$12))+((U13)*($T$13))+((U14)*($T$14))+((U15)*($T$15))</f>
        <v>0.96909999999999996</v>
      </c>
      <c r="V18" s="11">
        <f t="shared" ref="V18:Z18" si="4">((V11)*($T$11))+((V12)*($T$12))+((V13)*($T$13))+((V14)*($T$14))+((V15)*($T$15))</f>
        <v>1.8440224466128949</v>
      </c>
      <c r="W18" s="11">
        <f t="shared" si="4"/>
        <v>0.48898041397717917</v>
      </c>
      <c r="X18" s="11">
        <f t="shared" si="4"/>
        <v>0.1360451373656045</v>
      </c>
      <c r="Y18" s="11">
        <f t="shared" si="4"/>
        <v>1.3136996234088788E-2</v>
      </c>
      <c r="Z18" s="11">
        <f t="shared" si="4"/>
        <v>1.863091700326508E-3</v>
      </c>
    </row>
    <row r="19" spans="1:26" ht="45">
      <c r="A19" s="12" t="s">
        <v>205</v>
      </c>
      <c r="D19" s="11"/>
      <c r="F19" s="11">
        <v>1</v>
      </c>
      <c r="G19" s="11">
        <v>1.85</v>
      </c>
      <c r="H19" s="11">
        <v>0.33</v>
      </c>
      <c r="I19" s="11">
        <v>0.05</v>
      </c>
    </row>
    <row r="23" spans="1:26">
      <c r="A23" t="s">
        <v>217</v>
      </c>
    </row>
    <row r="24" spans="1:26">
      <c r="A24" t="s">
        <v>152</v>
      </c>
      <c r="C24">
        <v>0.26300000000000001</v>
      </c>
      <c r="D24">
        <v>0.26300000000000001</v>
      </c>
      <c r="E24">
        <f>(D24)/($D$31)</f>
        <v>0.34042222711210635</v>
      </c>
    </row>
    <row r="25" spans="1:26">
      <c r="A25" t="s">
        <v>206</v>
      </c>
      <c r="C25">
        <v>2.4399999999999999E-3</v>
      </c>
      <c r="D25">
        <v>2.4399999999999999E-3</v>
      </c>
      <c r="E25">
        <f>(D25)/($D$31)</f>
        <v>3.1582898637016708E-3</v>
      </c>
    </row>
    <row r="26" spans="1:26">
      <c r="A26" t="s">
        <v>207</v>
      </c>
      <c r="C26">
        <v>1.814E-2</v>
      </c>
      <c r="D26">
        <v>1.814E-2</v>
      </c>
      <c r="E26">
        <f>(D26)/($D$31)</f>
        <v>2.3480073003093571E-2</v>
      </c>
    </row>
    <row r="27" spans="1:26">
      <c r="A27" t="s">
        <v>208</v>
      </c>
      <c r="C27">
        <v>0.10899</v>
      </c>
      <c r="D27">
        <v>0.10899</v>
      </c>
      <c r="E27">
        <f>(D27)/($D$31)</f>
        <v>0.14107459518231358</v>
      </c>
    </row>
    <row r="28" spans="1:26">
      <c r="A28" t="s">
        <v>209</v>
      </c>
      <c r="C28">
        <v>0.38</v>
      </c>
      <c r="D28">
        <v>0.38</v>
      </c>
      <c r="E28">
        <f>(D28)/($D$31)</f>
        <v>0.49186481483878486</v>
      </c>
    </row>
    <row r="29" spans="1:26">
      <c r="A29" t="s">
        <v>215</v>
      </c>
      <c r="C29">
        <v>0.13100000000000001</v>
      </c>
      <c r="D29">
        <v>0</v>
      </c>
      <c r="E29">
        <f t="shared" ref="E29:E30" si="5">(D29)/($D$31)</f>
        <v>0</v>
      </c>
    </row>
    <row r="30" spans="1:26">
      <c r="A30" t="s">
        <v>214</v>
      </c>
      <c r="C30">
        <v>7.4999999999999997E-2</v>
      </c>
      <c r="D30">
        <v>0</v>
      </c>
      <c r="E30">
        <f t="shared" si="5"/>
        <v>0</v>
      </c>
    </row>
    <row r="31" spans="1:26">
      <c r="A31" t="s">
        <v>216</v>
      </c>
      <c r="C31">
        <f>SUM(C24:C30)</f>
        <v>0.97856999999999994</v>
      </c>
      <c r="D31">
        <f>SUM(D24:D30)</f>
        <v>0.77256999999999998</v>
      </c>
    </row>
    <row r="36" spans="1:18">
      <c r="A36" s="55" t="s">
        <v>241</v>
      </c>
      <c r="B36" s="55"/>
      <c r="C36" s="55"/>
      <c r="D36" s="55"/>
      <c r="E36" s="55" t="s">
        <v>6</v>
      </c>
      <c r="F36" s="55" t="s">
        <v>10</v>
      </c>
      <c r="G36" s="55" t="s">
        <v>202</v>
      </c>
      <c r="H36" s="55" t="s">
        <v>4</v>
      </c>
      <c r="I36" s="55" t="s">
        <v>16</v>
      </c>
      <c r="J36" s="55" t="s">
        <v>17</v>
      </c>
      <c r="K36" s="56" t="s">
        <v>231</v>
      </c>
      <c r="L36" s="55"/>
      <c r="M36" s="55"/>
      <c r="N36" s="55"/>
      <c r="O36" s="55"/>
      <c r="P36" s="55"/>
      <c r="Q36" s="55"/>
      <c r="R36" s="55"/>
    </row>
    <row r="37" spans="1:18">
      <c r="A37" s="55"/>
      <c r="B37" s="55"/>
      <c r="C37" s="55"/>
      <c r="D37" s="55" t="s">
        <v>242</v>
      </c>
      <c r="E37" s="57">
        <v>4.7756319843766954</v>
      </c>
      <c r="F37" s="57">
        <v>9.5633441811839379</v>
      </c>
      <c r="G37" s="57">
        <v>2.4847264296738794</v>
      </c>
      <c r="H37" s="57">
        <v>1.3779991790365331</v>
      </c>
      <c r="I37" s="55"/>
      <c r="J37" s="55">
        <v>2.9917418674868967E-2</v>
      </c>
      <c r="K37" s="55">
        <v>0.30180000000000001</v>
      </c>
      <c r="L37" s="55"/>
      <c r="M37" s="55"/>
      <c r="N37" s="55"/>
      <c r="O37" s="55"/>
      <c r="P37" s="55"/>
      <c r="Q37" s="55"/>
      <c r="R37" s="55"/>
    </row>
    <row r="38" spans="1:18">
      <c r="A38" s="55"/>
      <c r="B38" s="55"/>
      <c r="C38" s="55"/>
      <c r="D38" s="55" t="s">
        <v>206</v>
      </c>
      <c r="E38" s="55">
        <v>9.729840207089012</v>
      </c>
      <c r="F38" s="55">
        <v>12.229840207089016</v>
      </c>
      <c r="G38" s="55">
        <v>6</v>
      </c>
      <c r="H38" s="55">
        <v>3.7701597929109854</v>
      </c>
      <c r="I38" s="55">
        <v>1</v>
      </c>
      <c r="J38" s="55">
        <v>0</v>
      </c>
      <c r="K38" s="55">
        <v>3.0000000000000001E-3</v>
      </c>
      <c r="L38" s="55"/>
      <c r="M38" s="55"/>
      <c r="N38" s="55"/>
      <c r="O38" s="55"/>
      <c r="P38" s="55"/>
      <c r="Q38" s="55"/>
      <c r="R38" s="55"/>
    </row>
    <row r="39" spans="1:18">
      <c r="A39" s="55"/>
      <c r="B39" s="55"/>
      <c r="C39" s="55"/>
      <c r="D39" s="55" t="s">
        <v>207</v>
      </c>
      <c r="E39" s="55">
        <v>9.5</v>
      </c>
      <c r="F39" s="55">
        <v>11.770159792910984</v>
      </c>
      <c r="G39" s="55">
        <v>8</v>
      </c>
      <c r="H39" s="55">
        <v>3.7701597929109854</v>
      </c>
      <c r="I39" s="55">
        <v>1</v>
      </c>
      <c r="J39" s="55">
        <v>0</v>
      </c>
      <c r="K39" s="55">
        <v>0.1</v>
      </c>
      <c r="L39" s="55"/>
      <c r="M39" s="55"/>
      <c r="N39" s="55"/>
      <c r="O39" s="55"/>
      <c r="P39" s="55"/>
      <c r="Q39" s="55"/>
      <c r="R39" s="55"/>
    </row>
    <row r="40" spans="1:18">
      <c r="A40" s="55"/>
      <c r="B40" s="55"/>
      <c r="C40" s="55"/>
      <c r="D40" s="55" t="s">
        <v>208</v>
      </c>
      <c r="E40" s="55">
        <v>102.65213429256593</v>
      </c>
      <c r="F40" s="55">
        <v>183.07121822541964</v>
      </c>
      <c r="G40" s="55">
        <v>14.367165467625899</v>
      </c>
      <c r="H40" s="55">
        <v>0.49016786570743398</v>
      </c>
      <c r="I40" s="55">
        <v>0.49016786570743398</v>
      </c>
      <c r="J40" s="55">
        <v>0</v>
      </c>
      <c r="K40" s="55">
        <v>0.40110000000000001</v>
      </c>
      <c r="L40" s="55"/>
      <c r="M40" s="55"/>
      <c r="N40" s="55"/>
      <c r="O40" s="55"/>
      <c r="P40" s="55"/>
      <c r="Q40" s="55"/>
      <c r="R40" s="55"/>
    </row>
    <row r="41" spans="1:18">
      <c r="A41" s="55"/>
      <c r="B41" s="55"/>
      <c r="C41" s="55"/>
      <c r="D41" s="55" t="s">
        <v>209</v>
      </c>
      <c r="E41" s="57">
        <v>4.4788548752834467</v>
      </c>
      <c r="F41" s="57">
        <v>10.87185941043084</v>
      </c>
      <c r="G41" s="57">
        <v>5.1893310657596379</v>
      </c>
      <c r="H41" s="57">
        <v>0.20181405895691612</v>
      </c>
      <c r="I41" s="57">
        <v>1.0204081632653062E-2</v>
      </c>
      <c r="J41" s="57">
        <v>0</v>
      </c>
      <c r="K41" s="55">
        <v>0.16339999999999999</v>
      </c>
      <c r="L41" s="55"/>
      <c r="M41" s="55"/>
      <c r="N41" s="55"/>
      <c r="O41" s="55"/>
      <c r="P41" s="55"/>
      <c r="Q41" s="55"/>
      <c r="R41" s="55"/>
    </row>
    <row r="42" spans="1:18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>
        <f>1-SUM(K37:K41)</f>
        <v>3.069999999999995E-2</v>
      </c>
      <c r="L42" s="55"/>
      <c r="M42" s="55"/>
      <c r="N42" s="55"/>
      <c r="O42" s="55"/>
      <c r="P42" s="55"/>
      <c r="Q42" s="55"/>
      <c r="R42" s="55"/>
    </row>
    <row r="43" spans="1:18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spans="1:18">
      <c r="A44" s="55"/>
      <c r="B44" s="55"/>
      <c r="C44" s="55" t="s">
        <v>213</v>
      </c>
      <c r="D44" s="55"/>
      <c r="E44" s="57">
        <f t="shared" ref="E44:J44" si="6">((E37)*($E$2))+((E38)*($E$3))+((E39)*($E$4))+((E40)*($E$5))+((E41)*($E$6))</f>
        <v>44.326091204875667</v>
      </c>
      <c r="F44" s="57">
        <f t="shared" si="6"/>
        <v>79.3062502316739</v>
      </c>
      <c r="G44" s="57">
        <f t="shared" si="6"/>
        <v>8.1784972016854507</v>
      </c>
      <c r="H44" s="57">
        <f t="shared" si="6"/>
        <v>1.033789359071869</v>
      </c>
      <c r="I44" s="57">
        <f t="shared" si="6"/>
        <v>0.30127367787402731</v>
      </c>
      <c r="J44" s="57">
        <f t="shared" si="6"/>
        <v>9.0290769560754554E-3</v>
      </c>
      <c r="K44" s="55"/>
      <c r="L44" s="55"/>
      <c r="M44" s="55"/>
      <c r="N44" s="55"/>
      <c r="O44" s="55"/>
      <c r="P44" s="55"/>
      <c r="Q44" s="55"/>
      <c r="R44" s="55"/>
    </row>
    <row r="45" spans="1:18">
      <c r="A45" s="55"/>
      <c r="B45" s="55"/>
      <c r="C45" s="55"/>
      <c r="D45" s="55"/>
      <c r="E45" s="58">
        <f>(E44)/($E$44)</f>
        <v>1</v>
      </c>
      <c r="F45" s="58">
        <f t="shared" ref="F45:I45" si="7">(F44)/($E$44)</f>
        <v>1.7891550568968413</v>
      </c>
      <c r="G45" s="58">
        <f t="shared" si="7"/>
        <v>0.18450752095158468</v>
      </c>
      <c r="H45" s="58">
        <f t="shared" si="7"/>
        <v>2.3322366826654835E-2</v>
      </c>
      <c r="I45" s="58">
        <f t="shared" si="7"/>
        <v>6.7967571623118572E-3</v>
      </c>
      <c r="J45" s="58">
        <f>(J44)/($E$44)</f>
        <v>2.0369666511632991E-4</v>
      </c>
      <c r="K45" s="55"/>
      <c r="L45" s="55"/>
      <c r="M45" s="55"/>
      <c r="N45" s="55"/>
      <c r="O45" s="55"/>
      <c r="P45" s="55"/>
      <c r="Q45" s="55"/>
      <c r="R45" s="55"/>
    </row>
    <row r="46" spans="1:18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spans="1:18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spans="1:1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Proteome Amino Acid Composition</vt:lpstr>
      <vt:lpstr>Genome DNA Composition</vt:lpstr>
      <vt:lpstr>Genome RNA Composition</vt:lpstr>
      <vt:lpstr>Lipid Composition</vt:lpstr>
      <vt:lpstr>Cell Wall Composition</vt:lpstr>
      <vt:lpstr>Elemental Equation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</cp:lastModifiedBy>
  <dcterms:created xsi:type="dcterms:W3CDTF">2014-08-08T12:33:29Z</dcterms:created>
  <dcterms:modified xsi:type="dcterms:W3CDTF">2014-12-11T19:09:45Z</dcterms:modified>
</cp:coreProperties>
</file>