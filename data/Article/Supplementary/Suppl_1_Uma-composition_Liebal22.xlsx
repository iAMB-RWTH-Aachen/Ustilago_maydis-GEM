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Proteome Amino Acid Composition" sheetId="1" state="visible" r:id="rId2"/>
    <sheet name="Genome DNA Composition" sheetId="2" state="visible" r:id="rId3"/>
    <sheet name="Genome RNA Composition" sheetId="3" state="visible" r:id="rId4"/>
    <sheet name="Lipid Composition" sheetId="4" state="visible" r:id="rId5"/>
    <sheet name="Cell Wall Composition" sheetId="5" state="visible" r:id="rId6"/>
    <sheet name="Elemental Equation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<sst xmlns="http://schemas.openxmlformats.org/spreadsheetml/2006/main" count="511" uniqueCount="279">
  <si>
    <t xml:space="preserve">Based on FASTA File Proteome Sequences PENDANT/ Helmholtz Munich</t>
  </si>
  <si>
    <t xml:space="preserve">Total amount of AA:</t>
  </si>
  <si>
    <t xml:space="preserve">GAM:</t>
  </si>
  <si>
    <t xml:space="preserve">Protein</t>
  </si>
  <si>
    <t xml:space="preserve">DNA</t>
  </si>
  <si>
    <t xml:space="preserve">RNA</t>
  </si>
  <si>
    <t xml:space="preserve">Total</t>
  </si>
  <si>
    <t xml:space="preserve">Amino Acid Full Name</t>
  </si>
  <si>
    <t xml:space="preserve">Amino Acids 1-Letter Code:</t>
  </si>
  <si>
    <t xml:space="preserve">Absolute Amount:</t>
  </si>
  <si>
    <t xml:space="preserve">Relative Amount i.e. Molar Percentage (mol/mol):</t>
  </si>
  <si>
    <t xml:space="preserve">Molecular Weight (g/mol):</t>
  </si>
  <si>
    <t xml:space="preserve">Molecular Weight - 1 Water Molecule during polymerization (18.0153 g/mol)</t>
  </si>
  <si>
    <t xml:space="preserve">Weight of AA per mole Protein (g AA/mol Protein)</t>
  </si>
  <si>
    <t xml:space="preserve">Weight of AA per weight of Protein (g AA/g Protein)</t>
  </si>
  <si>
    <t xml:space="preserve">mmol AA / g DW</t>
  </si>
  <si>
    <t xml:space="preserve">g AA / g DW</t>
  </si>
  <si>
    <t xml:space="preserve">mmol Protein per g DW:</t>
  </si>
  <si>
    <t xml:space="preserve">Alanine</t>
  </si>
  <si>
    <t xml:space="preserve">A</t>
  </si>
  <si>
    <t xml:space="preserve">wt %</t>
  </si>
  <si>
    <t xml:space="preserve">Arginine</t>
  </si>
  <si>
    <t xml:space="preserve">R</t>
  </si>
  <si>
    <t xml:space="preserve">Cp = mmol -P/mmol (Proteine)</t>
  </si>
  <si>
    <t xml:space="preserve">Asparagine</t>
  </si>
  <si>
    <t xml:space="preserve">N</t>
  </si>
  <si>
    <t xml:space="preserve">Result (mmol -P/g DW)</t>
  </si>
  <si>
    <t xml:space="preserve">Aspartic Acid</t>
  </si>
  <si>
    <t xml:space="preserve">D</t>
  </si>
  <si>
    <t xml:space="preserve">Growth-associated maintenance: Hydrolysis of 11,97257 mmol ATP/g DW</t>
  </si>
  <si>
    <t xml:space="preserve">Cystein</t>
  </si>
  <si>
    <t xml:space="preserve">C</t>
  </si>
  <si>
    <t xml:space="preserve">Weight of Water per mole Protein</t>
  </si>
  <si>
    <t xml:space="preserve">Weight of Water per weight of Protein</t>
  </si>
  <si>
    <t xml:space="preserve">mmol H2O / g DW per Proteinsynthesis</t>
  </si>
  <si>
    <t xml:space="preserve">Glutamine</t>
  </si>
  <si>
    <t xml:space="preserve">Q</t>
  </si>
  <si>
    <t xml:space="preserve">Glutamic Acid</t>
  </si>
  <si>
    <t xml:space="preserve">E</t>
  </si>
  <si>
    <t xml:space="preserve">Glycine</t>
  </si>
  <si>
    <t xml:space="preserve">G</t>
  </si>
  <si>
    <t xml:space="preserve">Histidine</t>
  </si>
  <si>
    <t xml:space="preserve">H</t>
  </si>
  <si>
    <t xml:space="preserve">Isoleucine</t>
  </si>
  <si>
    <t xml:space="preserve">I</t>
  </si>
  <si>
    <t xml:space="preserve">Leucine</t>
  </si>
  <si>
    <t xml:space="preserve">L</t>
  </si>
  <si>
    <t xml:space="preserve">Lysine</t>
  </si>
  <si>
    <t xml:space="preserve">K</t>
  </si>
  <si>
    <t xml:space="preserve">Methionine</t>
  </si>
  <si>
    <t xml:space="preserve">M</t>
  </si>
  <si>
    <t xml:space="preserve">Phenylalanine</t>
  </si>
  <si>
    <t xml:space="preserve">F</t>
  </si>
  <si>
    <t xml:space="preserve">Proline</t>
  </si>
  <si>
    <t xml:space="preserve">P</t>
  </si>
  <si>
    <t xml:space="preserve">Serine</t>
  </si>
  <si>
    <t xml:space="preserve">S</t>
  </si>
  <si>
    <t xml:space="preserve">Threonine</t>
  </si>
  <si>
    <t xml:space="preserve">T</t>
  </si>
  <si>
    <t xml:space="preserve">Tryptophan</t>
  </si>
  <si>
    <t xml:space="preserve">W</t>
  </si>
  <si>
    <t xml:space="preserve">Tyrosine</t>
  </si>
  <si>
    <t xml:space="preserve">Y</t>
  </si>
  <si>
    <t xml:space="preserve">Valine</t>
  </si>
  <si>
    <t xml:space="preserve">V</t>
  </si>
  <si>
    <t xml:space="preserve">Control Sum:</t>
  </si>
  <si>
    <t xml:space="preserve">Weight of Protein (g) per mole Protein (g/mol):</t>
  </si>
  <si>
    <t xml:space="preserve">Summe</t>
  </si>
  <si>
    <t xml:space="preserve">Absolute amount of C per AA</t>
  </si>
  <si>
    <t xml:space="preserve">Absolute amount of H</t>
  </si>
  <si>
    <t xml:space="preserve">Absolute amount of O</t>
  </si>
  <si>
    <t xml:space="preserve">Absolute amount of N</t>
  </si>
  <si>
    <t xml:space="preserve">Absolute amount of S</t>
  </si>
  <si>
    <t xml:space="preserve">Relative amount of C</t>
  </si>
  <si>
    <t xml:space="preserve">Relative amount of H</t>
  </si>
  <si>
    <t xml:space="preserve">Relative amount of O</t>
  </si>
  <si>
    <t xml:space="preserve">Relative amount of N</t>
  </si>
  <si>
    <t xml:space="preserve">Relative amount of S</t>
  </si>
  <si>
    <t xml:space="preserve">Total Elemental Equation per mole protein:</t>
  </si>
  <si>
    <t xml:space="preserve">Normalized to C:</t>
  </si>
  <si>
    <t xml:space="preserve">Total amount of Desoxy Nucleotides:</t>
  </si>
  <si>
    <t xml:space="preserve">Nucleotide Full Name</t>
  </si>
  <si>
    <t xml:space="preserve">1-Letter Code:</t>
  </si>
  <si>
    <t xml:space="preserve">Molecular Weight - Pyrophosphate during polymerization (173.943  g/mol)</t>
  </si>
  <si>
    <t xml:space="preserve">Weight of dNTP per mole DNA (g AA/mol DNA)</t>
  </si>
  <si>
    <t xml:space="preserve">Weight of dNTP per weight of DNA (g dNTP/g DNA)</t>
  </si>
  <si>
    <t xml:space="preserve">mmol dNTP / g DW</t>
  </si>
  <si>
    <t xml:space="preserve">g dNTP / g DW</t>
  </si>
  <si>
    <t xml:space="preserve">Total amount of DNA  per g DW:</t>
  </si>
  <si>
    <t xml:space="preserve">desoxyAdeninetriphosphate</t>
  </si>
  <si>
    <t xml:space="preserve">desoxyThyminetriphosphat</t>
  </si>
  <si>
    <t xml:space="preserve">desoxyGuanosintriphosphat</t>
  </si>
  <si>
    <t xml:space="preserve">desoxyCytidintriphosphat</t>
  </si>
  <si>
    <t xml:space="preserve">Weight of DNA (g) per mole DNA (g/mol):</t>
  </si>
  <si>
    <t xml:space="preserve">Absolute amount of O minus the Os from Pyrophosphate</t>
  </si>
  <si>
    <t xml:space="preserve">Absolute amount of P minus the Ps from pyrophosphate</t>
  </si>
  <si>
    <t xml:space="preserve">Relative amount of P</t>
  </si>
  <si>
    <t xml:space="preserve">dAMP</t>
  </si>
  <si>
    <t xml:space="preserve">dTMP</t>
  </si>
  <si>
    <t xml:space="preserve">dGMP</t>
  </si>
  <si>
    <t xml:space="preserve">dCMP</t>
  </si>
  <si>
    <t xml:space="preserve">Total Elemental Equation per mole DNA:</t>
  </si>
  <si>
    <t xml:space="preserve">Total amount of Nucleotides:</t>
  </si>
  <si>
    <t xml:space="preserve">Weight of NTP per mole RNA (g NTP/mol RNA)</t>
  </si>
  <si>
    <t xml:space="preserve">Weight of dNTP per weight of RNA (g RNA/g DW)</t>
  </si>
  <si>
    <t xml:space="preserve">mmol NTP / g DW</t>
  </si>
  <si>
    <t xml:space="preserve">g NTP / g DW</t>
  </si>
  <si>
    <t xml:space="preserve">Adeninetriphosphate</t>
  </si>
  <si>
    <t xml:space="preserve">Uridintriphosphat</t>
  </si>
  <si>
    <t xml:space="preserve">U</t>
  </si>
  <si>
    <t xml:space="preserve">Guanosintriphosphat</t>
  </si>
  <si>
    <t xml:space="preserve">Cytidintriphosphat</t>
  </si>
  <si>
    <t xml:space="preserve">Weight of RNA (g) per mole RNA(g/mol):</t>
  </si>
  <si>
    <t xml:space="preserve">Absolute amount of P</t>
  </si>
  <si>
    <t xml:space="preserve">AMP</t>
  </si>
  <si>
    <t xml:space="preserve">UMP</t>
  </si>
  <si>
    <t xml:space="preserve">GMP</t>
  </si>
  <si>
    <t xml:space="preserve">CMP</t>
  </si>
  <si>
    <t xml:space="preserve">Based on A. Hernandez, D. Cooke, M. Lewis et al. (1997)</t>
  </si>
  <si>
    <t xml:space="preserve">Total amount of Nucleotides (µg/mg protein):</t>
  </si>
  <si>
    <t xml:space="preserve">TOTAL LIPIDS of plasma membrane (Combination of fatty acids, sterols and phospholipids!)</t>
  </si>
  <si>
    <t xml:space="preserve">Abbreviation:</t>
  </si>
  <si>
    <t xml:space="preserve">Absolute Amount (µg/mg protein):</t>
  </si>
  <si>
    <t xml:space="preserve">Relative Amount (no unit):</t>
  </si>
  <si>
    <t xml:space="preserve">Average Molecular Weight (g/mol) combined from average molecular weight of lipids in complexes composition and phosphatidyl core:</t>
  </si>
  <si>
    <t xml:space="preserve">Adapted Absolute Amount based on lipids present in Model! (µg/mg protein)</t>
  </si>
  <si>
    <t xml:space="preserve">Adapted Relative Amount (w/w) based on lipids present in Model!:</t>
  </si>
  <si>
    <t xml:space="preserve">Weight of lipids per mole Total lipids (g lipids/mol Total lipids)</t>
  </si>
  <si>
    <t xml:space="preserve">Weight of lipids per weight of lipids (g lipids/g total lipids)</t>
  </si>
  <si>
    <t xml:space="preserve">mmol Lipid / g DW</t>
  </si>
  <si>
    <t xml:space="preserve">g Lipids/ g DW</t>
  </si>
  <si>
    <t xml:space="preserve">Phoshpatidylethanolamine</t>
  </si>
  <si>
    <t xml:space="preserve">PE</t>
  </si>
  <si>
    <t xml:space="preserve">Phoshatidylcholine</t>
  </si>
  <si>
    <t xml:space="preserve">PC</t>
  </si>
  <si>
    <t xml:space="preserve">Free Sterols</t>
  </si>
  <si>
    <t xml:space="preserve">CLB Fatty Acids</t>
  </si>
  <si>
    <t xml:space="preserve">Free Fatty Acids</t>
  </si>
  <si>
    <t xml:space="preserve">Sum:</t>
  </si>
  <si>
    <t xml:space="preserve">Weight of Total Lipids (g) per mole Total Lipids (g/mol):</t>
  </si>
  <si>
    <t xml:space="preserve">Free Sterols present in Ustilago plasma membrane according to A. Hernandez, D. Cooke, M. Lewis et al. (1997)</t>
  </si>
  <si>
    <t xml:space="preserve">IUPAC name:</t>
  </si>
  <si>
    <t xml:space="preserve">Relative Amount (w/w):</t>
  </si>
  <si>
    <t xml:space="preserve">Adapted Absolute Amount based of Free Sterols present in Model!</t>
  </si>
  <si>
    <t xml:space="preserve">Adapted Relative Amount (w/w) based of Free Sterols present in Model!:</t>
  </si>
  <si>
    <t xml:space="preserve">Weight of Free Sterols per mole Free Sterols (g Sterols/mol Sterols</t>
  </si>
  <si>
    <t xml:space="preserve">Weight of Free Sterols per weight of Total Free Sterols(g Sterols/g Total Sterols)</t>
  </si>
  <si>
    <t xml:space="preserve">Free Sterols present in Model CL1710</t>
  </si>
  <si>
    <t xml:space="preserve">Ergosterol</t>
  </si>
  <si>
    <t xml:space="preserve">ergosta-5,7,22-trien-3β-ol</t>
  </si>
  <si>
    <t xml:space="preserve">ERGOSTEROL_c</t>
  </si>
  <si>
    <t xml:space="preserve">ergosta-5,7-dienol</t>
  </si>
  <si>
    <t xml:space="preserve">X</t>
  </si>
  <si>
    <t xml:space="preserve">Ergosta-7-enol</t>
  </si>
  <si>
    <t xml:space="preserve">ergost-7-enol</t>
  </si>
  <si>
    <t xml:space="preserve">14-Methylfecosterol</t>
  </si>
  <si>
    <t xml:space="preserve">Obtusifoliol</t>
  </si>
  <si>
    <t xml:space="preserve">OBTUSIFOLIOL_c</t>
  </si>
  <si>
    <t xml:space="preserve">Eburicol</t>
  </si>
  <si>
    <t xml:space="preserve">Ergosta-5,8,22-trienol</t>
  </si>
  <si>
    <t xml:space="preserve">(3β,22E)-Ergosta-5,8,22-trien-3-ol</t>
  </si>
  <si>
    <t xml:space="preserve">Ergosta-8,22-dienol</t>
  </si>
  <si>
    <t xml:space="preserve">Ergosta-8-enol</t>
  </si>
  <si>
    <t xml:space="preserve">Unknown Sterols</t>
  </si>
  <si>
    <t xml:space="preserve">Average Molecular Weight of a typical sterol (g/mol):</t>
  </si>
  <si>
    <t xml:space="preserve">Free Fatty Acids present in Ustilago plasma membrane according to A. Hernandez, D. Cooke, M. Lewis et al. (1997)</t>
  </si>
  <si>
    <t xml:space="preserve">Adapted Absolute Amount based on FA present in Model!</t>
  </si>
  <si>
    <t xml:space="preserve">Adapted Relative Amount (w/w) based on FA present in Model!:</t>
  </si>
  <si>
    <t xml:space="preserve">Weight of Fatty Acid per mole Total Fatty Acids (g Fatty Acid/mol Free Fatty Acids)</t>
  </si>
  <si>
    <t xml:space="preserve">Weight of Free Fatty Acids per mole Total Fatty Acids (g Free Fatty Acid/mol Total Fatty Acids)</t>
  </si>
  <si>
    <t xml:space="preserve">Weight of Fatty Acids per weight of Total Fatty Acids(g Fatty Acid/g Total Fatty Acids)</t>
  </si>
  <si>
    <t xml:space="preserve">Fatty Acids present in Model CL1710</t>
  </si>
  <si>
    <t xml:space="preserve">mmol Free Fatty Acids / g DW</t>
  </si>
  <si>
    <t xml:space="preserve">Palmitinsäure</t>
  </si>
  <si>
    <t xml:space="preserve">16:0</t>
  </si>
  <si>
    <t xml:space="preserve">PALMITATE_c</t>
  </si>
  <si>
    <t xml:space="preserve">Stearinsäure</t>
  </si>
  <si>
    <t xml:space="preserve">18:0</t>
  </si>
  <si>
    <t xml:space="preserve">STEARIC_ACID_c</t>
  </si>
  <si>
    <t xml:space="preserve">Ölsäure</t>
  </si>
  <si>
    <t xml:space="preserve">18:1</t>
  </si>
  <si>
    <t xml:space="preserve">OLEATE__45__CPD_c</t>
  </si>
  <si>
    <t xml:space="preserve">Linolsäure</t>
  </si>
  <si>
    <t xml:space="preserve">18:2</t>
  </si>
  <si>
    <t xml:space="preserve">LINOLEIC_ACID_c</t>
  </si>
  <si>
    <t xml:space="preserve">Alpha-Linolensäure</t>
  </si>
  <si>
    <t xml:space="preserve">18:3</t>
  </si>
  <si>
    <t xml:space="preserve">LINOLENIC_ACID_c</t>
  </si>
  <si>
    <t xml:space="preserve">Arachinsäure</t>
  </si>
  <si>
    <t xml:space="preserve">20:0</t>
  </si>
  <si>
    <t xml:space="preserve">11-Eicosenoic acid</t>
  </si>
  <si>
    <t xml:space="preserve">20:1</t>
  </si>
  <si>
    <t xml:space="preserve">Behenic acid</t>
  </si>
  <si>
    <t xml:space="preserve">22:0</t>
  </si>
  <si>
    <t xml:space="preserve">Erucic acid</t>
  </si>
  <si>
    <t xml:space="preserve">22:1</t>
  </si>
  <si>
    <t xml:space="preserve">Average Molecular Weight of a typical free fatty acid (g/mol):</t>
  </si>
  <si>
    <t xml:space="preserve">Fatty Acid Tails of Complex Lipids present in Ustilago plasma membrane according to A. Hernandez, D. Cooke, M. Lewis et al. (1997)</t>
  </si>
  <si>
    <t xml:space="preserve">Weight of Fatty Acid per mole Total Fatty Acids (g Fatty Acid/mol Complex Lipids)</t>
  </si>
  <si>
    <t xml:space="preserve">Palmitoleic acid</t>
  </si>
  <si>
    <t xml:space="preserve">16:1</t>
  </si>
  <si>
    <t xml:space="preserve">2</t>
  </si>
  <si>
    <t xml:space="preserve">0</t>
  </si>
  <si>
    <t xml:space="preserve">Average Molecular Weight of a typical fatty acid in complex lipids (g/mol):</t>
  </si>
  <si>
    <t xml:space="preserve">Total Free Fatty Acids</t>
  </si>
  <si>
    <t xml:space="preserve">Total Complex Bound FA</t>
  </si>
  <si>
    <t xml:space="preserve">PE Core</t>
  </si>
  <si>
    <t xml:space="preserve">Double Average Complex Bound FA</t>
  </si>
  <si>
    <t xml:space="preserve">Sum PE</t>
  </si>
  <si>
    <t xml:space="preserve">PC Core</t>
  </si>
  <si>
    <t xml:space="preserve">Sum PC</t>
  </si>
  <si>
    <t xml:space="preserve">Total Elemental Equation per mole Lipids:</t>
  </si>
  <si>
    <t xml:space="preserve">Based on J. Ruiz-Herrera, C. Leon et al (1996) DOI: 10.1006/fgbi.1996.0028</t>
  </si>
  <si>
    <t xml:space="preserve">CELL WALL (Focus on Monomer and Polysaccharides)</t>
  </si>
  <si>
    <t xml:space="preserve">Average Percentage of total dry weight (g /100g Cell Wall):</t>
  </si>
  <si>
    <t xml:space="preserve">Average Molecular Weight (g/mol) combined from average molecular weight of CW components:</t>
  </si>
  <si>
    <t xml:space="preserve">Adapted Absolute Amount based on CW components present in Model! (µg/mg protein)</t>
  </si>
  <si>
    <t xml:space="preserve">Adapted Relative Amount (w/w) based on CW components present in Model!:</t>
  </si>
  <si>
    <t xml:space="preserve">Weight of CW component per mole Total Cell Wall (g CW component/mol Total Cell Wall)</t>
  </si>
  <si>
    <t xml:space="preserve">Weight of individual Cell Wall Components per weight of Total Cell Wall (g Cell Wall Component/g Total Cell Wall)</t>
  </si>
  <si>
    <t xml:space="preserve">mmol Cell Wall Components / g DW</t>
  </si>
  <si>
    <t xml:space="preserve">Chitin</t>
  </si>
  <si>
    <t xml:space="preserve">CHITIN_c</t>
  </si>
  <si>
    <t xml:space="preserve">Chitosan</t>
  </si>
  <si>
    <t xml:space="preserve">Polyuronides</t>
  </si>
  <si>
    <t xml:space="preserve">Phosphate</t>
  </si>
  <si>
    <t xml:space="preserve">Pi_c</t>
  </si>
  <si>
    <t xml:space="preserve">Neutral Polysaccharides</t>
  </si>
  <si>
    <t xml:space="preserve">Weight of CellWall (g) per mole CellWall (g/mol):</t>
  </si>
  <si>
    <t xml:space="preserve">Neutral Polysaccharides present in Ustilago cell wall Based on J. Ruiz-Herrera, C. Leon et al (1996) DOI: 10.1006/fgbi.1996.0028</t>
  </si>
  <si>
    <t xml:space="preserve">Percentage of total neutral polysaccharide content</t>
  </si>
  <si>
    <t xml:space="preserve">Molecular Weight (g/mol) - 2 H2O (36 g/mol):</t>
  </si>
  <si>
    <t xml:space="preserve">Weight of neutral polysaccarides per mole per mole Total neutral polysaccharides (g  neutralpolysaccharides/mol total neutral polysaccharides)</t>
  </si>
  <si>
    <t xml:space="preserve">Weight of neutral polysaccarides per mole Total Cell Wall (g CW component/mol Total Cell Wall)</t>
  </si>
  <si>
    <t xml:space="preserve">Weight of individual Neutral Polysaccharides per weight of Total Cell Wall (g Cell Wall Component/g Total Cell Wall)</t>
  </si>
  <si>
    <t xml:space="preserve">Neutral Polysaccharides present in Model CL1710</t>
  </si>
  <si>
    <t xml:space="preserve">Xylose</t>
  </si>
  <si>
    <t xml:space="preserve">Mannose</t>
  </si>
  <si>
    <t xml:space="preserve">CPD-13559</t>
  </si>
  <si>
    <t xml:space="preserve">Galactose</t>
  </si>
  <si>
    <t xml:space="preserve">ALPHA-D-GALACTOSE</t>
  </si>
  <si>
    <t xml:space="preserve">Glucose</t>
  </si>
  <si>
    <t xml:space="preserve">ALPHA-GLUCOSE</t>
  </si>
  <si>
    <t xml:space="preserve">Ribose</t>
  </si>
  <si>
    <t xml:space="preserve">CPD-10330</t>
  </si>
  <si>
    <t xml:space="preserve">Arabinose</t>
  </si>
  <si>
    <t xml:space="preserve">Fucose</t>
  </si>
  <si>
    <t xml:space="preserve">Average Molecular Weight of a typical Polysaccharide (g/mol):</t>
  </si>
  <si>
    <t xml:space="preserve">C6H12O6</t>
  </si>
  <si>
    <t xml:space="preserve">C16H23N5O16P2</t>
  </si>
  <si>
    <t xml:space="preserve">CPD-13559 /D__45__mannopyranose_c</t>
  </si>
  <si>
    <t xml:space="preserve">Total Neutral Polysaccharides</t>
  </si>
  <si>
    <t xml:space="preserve">Total Elemental Equation per mole Cell Wall:</t>
  </si>
  <si>
    <t xml:space="preserve">Unknown Percentages</t>
  </si>
  <si>
    <t xml:space="preserve">Percentages Calculated from combined elemental composition U. maydis (CHNO) and S. cerevisiae (PS) [xchangedbounds] [Unit: g/g DW]</t>
  </si>
  <si>
    <t xml:space="preserve">O</t>
  </si>
  <si>
    <t xml:space="preserve">N </t>
  </si>
  <si>
    <t xml:space="preserve">Percentages Calculated from combined elemental composition U. maydis (CHNO) and S. cerevisiae (PS). Phoshorus content varied by *1 order of magnitude!</t>
  </si>
  <si>
    <t xml:space="preserve">Percentages Calculated from combined elemental composition U. maydis (CHNO) and S. cerevisiae (PS). Phoshorus content varied by /1 order of magnitude!</t>
  </si>
  <si>
    <t xml:space="preserve">Z</t>
  </si>
  <si>
    <t xml:space="preserve">Lipids</t>
  </si>
  <si>
    <t xml:space="preserve">Cell Wall</t>
  </si>
  <si>
    <t xml:space="preserve">B</t>
  </si>
  <si>
    <t xml:space="preserve">Ash</t>
  </si>
  <si>
    <t xml:space="preserve">Result:</t>
  </si>
  <si>
    <t xml:space="preserve">&lt;= LinOpt solved with Matlab! Upper and Lower bounds taken from D. Griffin Fungal Physiology 2nd Edition 1994</t>
  </si>
  <si>
    <t xml:space="preserve">Result Phosphor *10:</t>
  </si>
  <si>
    <t xml:space="preserve">Percentages Calculated from combined elemental composition U. maydis (CHNO) and S. cerevisiae (PS). Sulphur content varied by *1 order of magnitude!</t>
  </si>
  <si>
    <t xml:space="preserve">Percentages Calculated from combined elemental composition U. maydis (CHNO) and S. cerevisiae (PS). Sulphur content varied by /1 order of magnitude!</t>
  </si>
  <si>
    <t xml:space="preserve">Result Phosphor /10:</t>
  </si>
  <si>
    <t xml:space="preserve">Result Sulphur*10:</t>
  </si>
  <si>
    <t xml:space="preserve">Result Sulphur /10:</t>
  </si>
  <si>
    <t xml:space="preserve">During unlimited growth phase</t>
  </si>
  <si>
    <t xml:space="preserve">During Nitrogen limitation</t>
  </si>
  <si>
    <t xml:space="preserve">Biomass comp of A.Niger:</t>
  </si>
  <si>
    <t xml:space="preserve">Small molecules</t>
  </si>
  <si>
    <t xml:space="preserve">Sum</t>
  </si>
  <si>
    <t xml:space="preserve">Non Normalized Elemental Composition of Biomass:</t>
  </si>
  <si>
    <t xml:space="preserve">Proteins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</si>
</sst>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000"/>
    <numFmt numFmtId="166" formatCode="General"/>
    <numFmt numFmtId="167" formatCode="#,##0"/>
    <numFmt numFmtId="168" formatCode="#,##0.0000"/>
    <numFmt numFmtId="169" formatCode="0.00"/>
    <numFmt numFmtId="170" formatCode="_-* #,##0.00\ _€_-;\-* #,##0.00\ _€_-;_-* \-??\ _€_-;_-@_-"/>
    <numFmt numFmtId="171" formatCode="0.000000"/>
    <numFmt numFmtId="172" formatCode="0.000"/>
    <numFmt numFmtId="173" formatCode="0.0000"/>
    <numFmt numFmtId="174" formatCode="@"/>
    <numFmt numFmtId="175" formatCode="#,##0.00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u val="single"/>
      <sz val="11"/>
      <color rgb="FF0000FF"/>
      <name val="Calibri"/>
      <family val="2"/>
      <charset val="1"/>
    </font>
    <font>
      <sz val="11"/>
      <color rgb="FF0000FF"/>
      <name val="Calibri"/>
      <family val="2"/>
      <charset val="1"/>
    </font>
    <font>
      <sz val="11"/>
      <color rgb="FFFFFF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CD5B5"/>
        <bgColor rgb="FFFAC090"/>
      </patternFill>
    </fill>
    <fill>
      <patternFill patternType="solid">
        <fgColor rgb="FF7F7F7F"/>
        <bgColor rgb="FF666699"/>
      </patternFill>
    </fill>
    <fill>
      <patternFill patternType="solid">
        <fgColor rgb="FFC6D9F1"/>
        <bgColor rgb="FFCCC1DA"/>
      </patternFill>
    </fill>
    <fill>
      <patternFill patternType="solid">
        <fgColor rgb="FFCCC1DA"/>
        <bgColor rgb="FFE6B9B8"/>
      </patternFill>
    </fill>
    <fill>
      <patternFill patternType="solid">
        <fgColor rgb="FFE6B9B8"/>
        <bgColor rgb="FFFAC090"/>
      </patternFill>
    </fill>
    <fill>
      <patternFill patternType="solid">
        <fgColor rgb="FFD7E4BD"/>
        <bgColor rgb="FFC6D9F1"/>
      </patternFill>
    </fill>
    <fill>
      <patternFill patternType="solid">
        <fgColor rgb="FF8EB4E3"/>
        <bgColor rgb="FF9999FF"/>
      </patternFill>
    </fill>
    <fill>
      <patternFill patternType="solid">
        <fgColor rgb="FFA6A6A6"/>
        <bgColor rgb="FF8EB4E3"/>
      </patternFill>
    </fill>
    <fill>
      <patternFill patternType="solid">
        <fgColor rgb="FFFAC090"/>
        <bgColor rgb="FFE6B9B8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4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8" fontId="0" fillId="4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8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15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9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0" fillId="9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72" fontId="0" fillId="0" borderId="0" xfId="15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73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9" fontId="0" fillId="9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73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71" fontId="0" fillId="0" borderId="0" xfId="15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72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7F7F7F"/>
      <rgbColor rgb="FF9999FF"/>
      <rgbColor rgb="FF993366"/>
      <rgbColor rgb="FFFCD5B5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8EB4E3"/>
      <rgbColor rgb="FFE6B9B8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46"/>
  <sheetViews>
    <sheetView showFormulas="false" showGridLines="true" showRowColHeaders="true" showZeros="true" rightToLeft="false" tabSelected="false" showOutlineSymbols="true" defaultGridColor="true" view="normal" topLeftCell="D1" colorId="64" zoomScale="70" zoomScaleNormal="70" zoomScalePageLayoutView="100" workbookViewId="0">
      <selection pane="topLeft" activeCell="N12" activeCellId="1" sqref="G45:J45 N12"/>
    </sheetView>
  </sheetViews>
  <sheetFormatPr defaultColWidth="10.5390625" defaultRowHeight="15" zeroHeight="false" outlineLevelRow="0" outlineLevelCol="0"/>
  <cols>
    <col collapsed="false" customWidth="true" hidden="false" outlineLevel="0" max="1" min="1" style="0" width="22.57"/>
    <col collapsed="false" customWidth="true" hidden="false" outlineLevel="0" max="2" min="2" style="0" width="16.85"/>
    <col collapsed="false" customWidth="true" hidden="false" outlineLevel="0" max="3" min="3" style="0" width="17.28"/>
    <col collapsed="false" customWidth="true" hidden="false" outlineLevel="0" max="4" min="4" style="0" width="18.28"/>
    <col collapsed="false" customWidth="true" hidden="false" outlineLevel="0" max="5" min="5" style="0" width="22.71"/>
    <col collapsed="false" customWidth="true" hidden="false" outlineLevel="0" max="6" min="6" style="0" width="26.72"/>
    <col collapsed="false" customWidth="true" hidden="false" outlineLevel="0" max="7" min="7" style="0" width="18.14"/>
    <col collapsed="false" customWidth="true" hidden="false" outlineLevel="0" max="8" min="8" style="0" width="17"/>
    <col collapsed="false" customWidth="true" hidden="false" outlineLevel="0" max="9" min="9" style="0" width="16.57"/>
    <col collapsed="false" customWidth="true" hidden="false" outlineLevel="0" max="10" min="10" style="0" width="11.28"/>
    <col collapsed="false" customWidth="true" hidden="false" outlineLevel="0" max="11" min="11" style="0" width="11"/>
    <col collapsed="false" customWidth="true" hidden="true" outlineLevel="0" max="12" min="12" style="0" width="8.43"/>
    <col collapsed="false" customWidth="true" hidden="false" outlineLevel="0" max="13" min="13" style="0" width="14.43"/>
    <col collapsed="false" customWidth="true" hidden="false" outlineLevel="0" max="14" min="14" style="0" width="39.57"/>
  </cols>
  <sheetData>
    <row r="1" customFormat="false" ht="60" hidden="false" customHeight="false" outlineLevel="0" collapsed="false">
      <c r="A1" s="1" t="s">
        <v>0</v>
      </c>
      <c r="B1" s="2" t="s">
        <v>1</v>
      </c>
      <c r="C1" s="2"/>
      <c r="D1" s="3" t="n">
        <v>4000178</v>
      </c>
      <c r="N1" s="4" t="s">
        <v>2</v>
      </c>
      <c r="O1" s="5" t="s">
        <v>3</v>
      </c>
      <c r="P1" s="4" t="s">
        <v>4</v>
      </c>
      <c r="Q1" s="4" t="s">
        <v>5</v>
      </c>
      <c r="R1" s="4" t="s">
        <v>6</v>
      </c>
    </row>
    <row r="2" customFormat="false" ht="60" hidden="false" customHeight="false" outlineLevel="0" collapsed="false">
      <c r="A2" s="6" t="s">
        <v>7</v>
      </c>
      <c r="B2" s="7" t="s">
        <v>8</v>
      </c>
      <c r="C2" s="8" t="s">
        <v>9</v>
      </c>
      <c r="D2" s="9" t="s">
        <v>10</v>
      </c>
      <c r="E2" s="10" t="s">
        <v>11</v>
      </c>
      <c r="F2" s="11" t="s">
        <v>12</v>
      </c>
      <c r="G2" s="9" t="s">
        <v>13</v>
      </c>
      <c r="H2" s="12" t="s">
        <v>14</v>
      </c>
      <c r="I2" s="13" t="s">
        <v>15</v>
      </c>
      <c r="J2" s="13" t="s">
        <v>16</v>
      </c>
      <c r="N2" s="5" t="s">
        <v>17</v>
      </c>
      <c r="O2" s="4" t="n">
        <f aca="false">SUM(I3:I22)</f>
        <v>2.76886402321599</v>
      </c>
      <c r="P2" s="14" t="n">
        <v>0.00958470077373857</v>
      </c>
      <c r="Q2" s="14" t="n">
        <v>0.30696051374299</v>
      </c>
      <c r="R2" s="15"/>
    </row>
    <row r="3" customFormat="false" ht="15" hidden="false" customHeight="false" outlineLevel="0" collapsed="false">
      <c r="A3" s="13" t="s">
        <v>18</v>
      </c>
      <c r="B3" s="13" t="s">
        <v>19</v>
      </c>
      <c r="C3" s="13" t="n">
        <v>422758</v>
      </c>
      <c r="D3" s="13" t="n">
        <f aca="false">(C3)/($D$1)</f>
        <v>0.105684797026532</v>
      </c>
      <c r="E3" s="13" t="n">
        <v>89.1</v>
      </c>
      <c r="F3" s="13" t="n">
        <f aca="false">(E3)-18.0153</f>
        <v>71.0847</v>
      </c>
      <c r="G3" s="13" t="n">
        <f aca="false">(D3)*(F3)</f>
        <v>7.51257209119194</v>
      </c>
      <c r="H3" s="16" t="n">
        <f aca="false">(G3)*1/($G$23)</f>
        <v>0.0689240907392905</v>
      </c>
      <c r="I3" s="0" t="n">
        <f aca="false">((H3)*('Elemental Equation'!$E$2)*1000)/(F3)</f>
        <v>0.292626832287649</v>
      </c>
      <c r="J3" s="0" t="n">
        <f aca="false">((H3)*('Elemental Equation'!$E$2))</f>
        <v>0.0208012905851179</v>
      </c>
      <c r="N3" s="4" t="s">
        <v>20</v>
      </c>
      <c r="O3" s="4" t="n">
        <f aca="false">'Elemental Equation'!B2</f>
        <v>0.3018</v>
      </c>
      <c r="P3" s="4" t="n">
        <f aca="false">'Elemental Equation'!B3</f>
        <v>0.003</v>
      </c>
      <c r="Q3" s="4" t="n">
        <f aca="false">'Elemental Equation'!B4</f>
        <v>0.1</v>
      </c>
      <c r="R3" s="15"/>
    </row>
    <row r="4" customFormat="false" ht="15" hidden="false" customHeight="false" outlineLevel="0" collapsed="false">
      <c r="A4" s="13" t="s">
        <v>21</v>
      </c>
      <c r="B4" s="13" t="s">
        <v>22</v>
      </c>
      <c r="C4" s="13" t="n">
        <v>255293</v>
      </c>
      <c r="D4" s="13" t="n">
        <f aca="false">(C4)/($D$1)</f>
        <v>0.0638204099917554</v>
      </c>
      <c r="E4" s="13" t="n">
        <v>174.2</v>
      </c>
      <c r="F4" s="13" t="n">
        <f aca="false">(E4)-18.0153</f>
        <v>156.1847</v>
      </c>
      <c r="G4" s="13" t="n">
        <f aca="false">(D4)*(F4)</f>
        <v>9.96777158843931</v>
      </c>
      <c r="H4" s="16" t="n">
        <f aca="false">(G4)*1/($G$23)</f>
        <v>0.0914493179021342</v>
      </c>
      <c r="I4" s="0" t="n">
        <f aca="false">((H4)*('Elemental Equation'!$E$2)*1000)/(F4)</f>
        <v>0.176710037173066</v>
      </c>
      <c r="J4" s="0" t="n">
        <f aca="false">((H4)*('Elemental Equation'!$E$2))</f>
        <v>0.0275994041428641</v>
      </c>
      <c r="N4" s="4" t="s">
        <v>23</v>
      </c>
      <c r="O4" s="4" t="n">
        <v>4.324</v>
      </c>
      <c r="P4" s="17" t="n">
        <v>1.365</v>
      </c>
      <c r="Q4" s="18" t="n">
        <v>0.406</v>
      </c>
      <c r="R4" s="15"/>
    </row>
    <row r="5" customFormat="false" ht="15" hidden="false" customHeight="false" outlineLevel="0" collapsed="false">
      <c r="A5" s="13" t="s">
        <v>24</v>
      </c>
      <c r="B5" s="13" t="s">
        <v>25</v>
      </c>
      <c r="C5" s="13" t="n">
        <v>134463</v>
      </c>
      <c r="D5" s="13" t="n">
        <f aca="false">(C5)/($D$1)</f>
        <v>0.0336142541656896</v>
      </c>
      <c r="E5" s="13" t="n">
        <v>132.1</v>
      </c>
      <c r="F5" s="13" t="n">
        <f aca="false">(E5)-18.0153</f>
        <v>114.0847</v>
      </c>
      <c r="G5" s="13" t="n">
        <f aca="false">(D5)*(F5)</f>
        <v>3.83487210221645</v>
      </c>
      <c r="H5" s="16" t="n">
        <f aca="false">(G5)*1/($G$23)</f>
        <v>0.035183033126116</v>
      </c>
      <c r="I5" s="0" t="n">
        <f aca="false">((H5)*('Elemental Equation'!$E$2)*1000)/(F5)</f>
        <v>0.0930732990266162</v>
      </c>
      <c r="J5" s="0" t="n">
        <f aca="false">((H5)*('Elemental Equation'!$E$2))</f>
        <v>0.0106182393974618</v>
      </c>
      <c r="N5" s="4" t="s">
        <v>26</v>
      </c>
      <c r="O5" s="4" t="n">
        <f aca="false">((O2)*(O4))</f>
        <v>11.9725680363859</v>
      </c>
      <c r="P5" s="4" t="n">
        <f aca="false">((P2)*(P4))</f>
        <v>0.0130831165561531</v>
      </c>
      <c r="Q5" s="4" t="n">
        <f aca="false">((Q2)*(Q4))</f>
        <v>0.124625968579654</v>
      </c>
      <c r="R5" s="15" t="n">
        <f aca="false">SUM(O5:Q5)</f>
        <v>12.1102771215217</v>
      </c>
    </row>
    <row r="6" customFormat="false" ht="15" hidden="false" customHeight="false" outlineLevel="0" collapsed="false">
      <c r="A6" s="13" t="s">
        <v>27</v>
      </c>
      <c r="B6" s="13" t="s">
        <v>28</v>
      </c>
      <c r="C6" s="13" t="n">
        <v>232095</v>
      </c>
      <c r="D6" s="13" t="n">
        <f aca="false">(C6)/($D$1)</f>
        <v>0.0580211680580214</v>
      </c>
      <c r="E6" s="13" t="n">
        <v>133.1</v>
      </c>
      <c r="F6" s="13" t="n">
        <f aca="false">(E6)-18.0153</f>
        <v>115.0847</v>
      </c>
      <c r="G6" s="13" t="n">
        <f aca="false">(D6)*(F6)</f>
        <v>6.67734871960698</v>
      </c>
      <c r="H6" s="16" t="n">
        <f aca="false">(G6)*1/($G$23)</f>
        <v>0.0612613341291819</v>
      </c>
      <c r="I6" s="0" t="n">
        <f aca="false">((H6)*('Elemental Equation'!$E$2)*1000)/(F6)</f>
        <v>0.160652724820824</v>
      </c>
      <c r="J6" s="0" t="n">
        <f aca="false">((H6)*('Elemental Equation'!$E$2))</f>
        <v>0.0184886706401871</v>
      </c>
      <c r="N6" s="4" t="s">
        <v>29</v>
      </c>
      <c r="O6" s="15"/>
      <c r="P6" s="15"/>
      <c r="Q6" s="15"/>
      <c r="R6" s="15"/>
    </row>
    <row r="7" customFormat="false" ht="60" hidden="false" customHeight="false" outlineLevel="0" collapsed="false">
      <c r="A7" s="13" t="s">
        <v>30</v>
      </c>
      <c r="B7" s="13" t="s">
        <v>31</v>
      </c>
      <c r="C7" s="13" t="n">
        <v>42755</v>
      </c>
      <c r="D7" s="13" t="n">
        <f aca="false">(C7)/($D$1)</f>
        <v>0.0106882743717905</v>
      </c>
      <c r="E7" s="13" t="n">
        <v>121.3</v>
      </c>
      <c r="F7" s="13" t="n">
        <f aca="false">(E7)-18.0153</f>
        <v>103.2847</v>
      </c>
      <c r="G7" s="13" t="n">
        <f aca="false">(D7)*(F7)</f>
        <v>1.10393521200807</v>
      </c>
      <c r="H7" s="16" t="n">
        <f aca="false">(G7)*1/($G$23)</f>
        <v>0.0101280533217046</v>
      </c>
      <c r="I7" s="0" t="n">
        <f aca="false">((H7)*('Elemental Equation'!$E$2)*1000)/(F7)</f>
        <v>0.0295943783783121</v>
      </c>
      <c r="J7" s="0" t="n">
        <f aca="false">((H7)*('Elemental Equation'!$E$2))</f>
        <v>0.00305664649249045</v>
      </c>
      <c r="M7" s="19" t="s">
        <v>32</v>
      </c>
      <c r="N7" s="19" t="s">
        <v>33</v>
      </c>
      <c r="P7" s="20" t="s">
        <v>34</v>
      </c>
    </row>
    <row r="8" customFormat="false" ht="15" hidden="false" customHeight="false" outlineLevel="0" collapsed="false">
      <c r="A8" s="13" t="s">
        <v>35</v>
      </c>
      <c r="B8" s="13" t="s">
        <v>36</v>
      </c>
      <c r="C8" s="13" t="n">
        <v>177738</v>
      </c>
      <c r="D8" s="13" t="n">
        <f aca="false">(C8)/($D$1)</f>
        <v>0.0444325227527375</v>
      </c>
      <c r="E8" s="13" t="n">
        <v>147.1</v>
      </c>
      <c r="F8" s="13" t="n">
        <f aca="false">(E8)-18.0153</f>
        <v>129.0847</v>
      </c>
      <c r="G8" s="13" t="n">
        <f aca="false">(D8)*(F8)</f>
        <v>5.7355588697803</v>
      </c>
      <c r="H8" s="16" t="n">
        <f aca="false">(G8)*1/($G$23)</f>
        <v>0.0526208833915574</v>
      </c>
      <c r="I8" s="0" t="n">
        <f aca="false">((H8)*('Elemental Equation'!$E$2)*1000)/(F8)</f>
        <v>0.123027613710781</v>
      </c>
      <c r="J8" s="0" t="n">
        <f aca="false">((H8)*('Elemental Equation'!$E$2))</f>
        <v>0.015880982607572</v>
      </c>
      <c r="M8" s="0" t="n">
        <f aca="false">19*18.0153</f>
        <v>342.2907</v>
      </c>
      <c r="N8" s="16" t="n">
        <f aca="false">(M8)*1/($G$23)</f>
        <v>3.14034594006434</v>
      </c>
      <c r="P8" s="0" t="n">
        <f aca="false">((N8)*('Elemental Equation'!$E$2)*1000)/18.0153</f>
        <v>52.6084164411038</v>
      </c>
    </row>
    <row r="9" customFormat="false" ht="15" hidden="false" customHeight="false" outlineLevel="0" collapsed="false">
      <c r="A9" s="13" t="s">
        <v>37</v>
      </c>
      <c r="B9" s="13" t="s">
        <v>38</v>
      </c>
      <c r="C9" s="13" t="n">
        <v>213967</v>
      </c>
      <c r="D9" s="13" t="n">
        <f aca="false">(C9)/($D$1)</f>
        <v>0.0534893697230473</v>
      </c>
      <c r="E9" s="13" t="n">
        <v>146.2</v>
      </c>
      <c r="F9" s="13" t="n">
        <f aca="false">(E9)-18.0153</f>
        <v>128.1847</v>
      </c>
      <c r="G9" s="13" t="n">
        <f aca="false">(D9)*(F9)</f>
        <v>6.8565188111379</v>
      </c>
      <c r="H9" s="16" t="n">
        <f aca="false">(G9)*1/($G$23)</f>
        <v>0.0629051300883479</v>
      </c>
      <c r="I9" s="0" t="n">
        <f aca="false">((H9)*('Elemental Equation'!$E$2)*1000)/(F9)</f>
        <v>0.148104791450644</v>
      </c>
      <c r="J9" s="0" t="n">
        <f aca="false">((H9)*('Elemental Equation'!$E$2))</f>
        <v>0.0189847682606634</v>
      </c>
    </row>
    <row r="10" customFormat="false" ht="15" hidden="false" customHeight="false" outlineLevel="0" collapsed="false">
      <c r="A10" s="13" t="s">
        <v>39</v>
      </c>
      <c r="B10" s="13" t="s">
        <v>40</v>
      </c>
      <c r="C10" s="13" t="n">
        <v>257703</v>
      </c>
      <c r="D10" s="13" t="n">
        <f aca="false">(C10)/($D$1)</f>
        <v>0.0644228831816984</v>
      </c>
      <c r="E10" s="13" t="n">
        <v>75.1</v>
      </c>
      <c r="F10" s="13" t="n">
        <f aca="false">(E10)-18.0153</f>
        <v>57.0847</v>
      </c>
      <c r="G10" s="13" t="n">
        <f aca="false">(D10)*(F10)</f>
        <v>3.6775609595623</v>
      </c>
      <c r="H10" s="16" t="n">
        <f aca="false">(G10)*1/($G$23)</f>
        <v>0.0337397820878586</v>
      </c>
      <c r="I10" s="0" t="n">
        <f aca="false">((H10)*('Elemental Equation'!$E$2)*1000)/(F10)</f>
        <v>0.178378203513651</v>
      </c>
      <c r="J10" s="0" t="n">
        <f aca="false">((H10)*('Elemental Equation'!$E$2))</f>
        <v>0.0101826662341157</v>
      </c>
    </row>
    <row r="11" customFormat="false" ht="15" hidden="false" customHeight="false" outlineLevel="0" collapsed="false">
      <c r="A11" s="13" t="s">
        <v>41</v>
      </c>
      <c r="B11" s="13" t="s">
        <v>42</v>
      </c>
      <c r="C11" s="13" t="n">
        <v>105129</v>
      </c>
      <c r="D11" s="13" t="n">
        <f aca="false">(C11)/($D$1)</f>
        <v>0.0262810804919181</v>
      </c>
      <c r="E11" s="13" t="n">
        <v>155.2</v>
      </c>
      <c r="F11" s="13" t="n">
        <f aca="false">(E11)-18.0153</f>
        <v>137.1847</v>
      </c>
      <c r="G11" s="13" t="n">
        <f aca="false">(D11)*(F11)</f>
        <v>3.60536214295964</v>
      </c>
      <c r="H11" s="16" t="n">
        <f aca="false">(G11)*1/($G$23)</f>
        <v>0.0330773940633063</v>
      </c>
      <c r="I11" s="0" t="n">
        <f aca="false">((H11)*('Elemental Equation'!$E$2)*1000)/(F11)</f>
        <v>0.0727687382653156</v>
      </c>
      <c r="J11" s="0" t="n">
        <f aca="false">((H11)*('Elemental Equation'!$E$2))</f>
        <v>0.00998275752830584</v>
      </c>
    </row>
    <row r="12" customFormat="false" ht="15" hidden="false" customHeight="false" outlineLevel="0" collapsed="false">
      <c r="A12" s="13" t="s">
        <v>43</v>
      </c>
      <c r="B12" s="13" t="s">
        <v>44</v>
      </c>
      <c r="C12" s="13" t="n">
        <v>166207</v>
      </c>
      <c r="D12" s="13" t="n">
        <f aca="false">(C12)/($D$1)</f>
        <v>0.0415499010294042</v>
      </c>
      <c r="E12" s="13" t="n">
        <v>131.2</v>
      </c>
      <c r="F12" s="13" t="n">
        <f aca="false">(E12)-18.0153</f>
        <v>113.1847</v>
      </c>
      <c r="G12" s="13" t="n">
        <f aca="false">(D12)*(F12)</f>
        <v>4.7028130830428</v>
      </c>
      <c r="H12" s="16" t="n">
        <f aca="false">(G12)*1/($G$23)</f>
        <v>0.0431459574338856</v>
      </c>
      <c r="I12" s="0" t="n">
        <f aca="false">((H12)*('Elemental Equation'!$E$2)*1000)/(F12)</f>
        <v>0.115046026128502</v>
      </c>
      <c r="J12" s="0" t="n">
        <f aca="false">((H12)*('Elemental Equation'!$E$2))</f>
        <v>0.0130214499535467</v>
      </c>
      <c r="N12" s="21"/>
    </row>
    <row r="13" customFormat="false" ht="15" hidden="false" customHeight="false" outlineLevel="0" collapsed="false">
      <c r="A13" s="13" t="s">
        <v>45</v>
      </c>
      <c r="B13" s="13" t="s">
        <v>46</v>
      </c>
      <c r="C13" s="13" t="n">
        <v>358325</v>
      </c>
      <c r="D13" s="13" t="n">
        <f aca="false">(C13)/($D$1)</f>
        <v>0.0895772638117604</v>
      </c>
      <c r="E13" s="13" t="n">
        <v>131.2</v>
      </c>
      <c r="F13" s="13" t="n">
        <f aca="false">(E13)-18.0153</f>
        <v>113.1847</v>
      </c>
      <c r="G13" s="13" t="n">
        <f aca="false">(D13)*(F13)</f>
        <v>10.138775731355</v>
      </c>
      <c r="H13" s="16" t="n">
        <f aca="false">(G13)*1/($G$23)</f>
        <v>0.0930181953678068</v>
      </c>
      <c r="I13" s="0" t="n">
        <f aca="false">((H13)*('Elemental Equation'!$E$2)*1000)/(F13)</f>
        <v>0.248027263066511</v>
      </c>
      <c r="J13" s="0" t="n">
        <f aca="false">((H13)*('Elemental Equation'!$E$2))</f>
        <v>0.0280728913620041</v>
      </c>
      <c r="N13" s="22"/>
    </row>
    <row r="14" customFormat="false" ht="15" hidden="false" customHeight="false" outlineLevel="0" collapsed="false">
      <c r="A14" s="13" t="s">
        <v>47</v>
      </c>
      <c r="B14" s="13" t="s">
        <v>48</v>
      </c>
      <c r="C14" s="13" t="n">
        <v>176258</v>
      </c>
      <c r="D14" s="13" t="n">
        <f aca="false">(C14)/($D$1)</f>
        <v>0.0440625392170048</v>
      </c>
      <c r="E14" s="13" t="n">
        <v>146.2</v>
      </c>
      <c r="F14" s="13" t="n">
        <f aca="false">(E14)-18.0153</f>
        <v>128.1847</v>
      </c>
      <c r="G14" s="13" t="n">
        <f aca="false">(D14)*(F14)</f>
        <v>5.64814337077</v>
      </c>
      <c r="H14" s="16" t="n">
        <f aca="false">(G14)*1/($G$23)</f>
        <v>0.0518188899181277</v>
      </c>
      <c r="I14" s="0" t="n">
        <f aca="false">((H14)*('Elemental Equation'!$E$2)*1000)/(F14)</f>
        <v>0.122003179609508</v>
      </c>
      <c r="J14" s="0" t="n">
        <f aca="false">((H14)*('Elemental Equation'!$E$2))</f>
        <v>0.0156389409772909</v>
      </c>
      <c r="N14" s="22"/>
    </row>
    <row r="15" customFormat="false" ht="15" hidden="false" customHeight="false" outlineLevel="0" collapsed="false">
      <c r="A15" s="13" t="s">
        <v>49</v>
      </c>
      <c r="B15" s="13" t="s">
        <v>50</v>
      </c>
      <c r="C15" s="13" t="n">
        <v>76920</v>
      </c>
      <c r="D15" s="13" t="n">
        <f aca="false">(C15)/($D$1)</f>
        <v>0.0192291443030785</v>
      </c>
      <c r="E15" s="13" t="n">
        <v>149.2</v>
      </c>
      <c r="F15" s="13" t="n">
        <f aca="false">(E15)-18.0153</f>
        <v>131.1847</v>
      </c>
      <c r="G15" s="13" t="n">
        <f aca="false">(D15)*(F15)</f>
        <v>2.52256952665606</v>
      </c>
      <c r="H15" s="16" t="n">
        <f aca="false">(G15)*1/($G$23)</f>
        <v>0.0231433134805134</v>
      </c>
      <c r="I15" s="0" t="n">
        <f aca="false">((H15)*('Elemental Equation'!$E$2)*1000)/(F15)</f>
        <v>0.0532428858580228</v>
      </c>
      <c r="J15" s="0" t="n">
        <f aca="false">((H15)*('Elemental Equation'!$E$2))</f>
        <v>0.00698465200841896</v>
      </c>
      <c r="N15" s="13"/>
    </row>
    <row r="16" customFormat="false" ht="15" hidden="false" customHeight="false" outlineLevel="0" collapsed="false">
      <c r="A16" s="13" t="s">
        <v>51</v>
      </c>
      <c r="B16" s="13" t="s">
        <v>52</v>
      </c>
      <c r="C16" s="13" t="n">
        <v>129091</v>
      </c>
      <c r="D16" s="13" t="n">
        <f aca="false">(C16)/($D$1)</f>
        <v>0.0322713139265303</v>
      </c>
      <c r="E16" s="13" t="n">
        <v>165.2</v>
      </c>
      <c r="F16" s="13" t="n">
        <f aca="false">(E16)-18.0153</f>
        <v>147.1847</v>
      </c>
      <c r="G16" s="13" t="n">
        <f aca="false">(D16)*(F16)</f>
        <v>4.74984365888218</v>
      </c>
      <c r="H16" s="16" t="n">
        <f aca="false">(G16)*1/($G$23)</f>
        <v>0.0435774394399585</v>
      </c>
      <c r="I16" s="0" t="n">
        <f aca="false">((H16)*('Elemental Equation'!$E$2)*1000)/(F16)</f>
        <v>0.0893548801130788</v>
      </c>
      <c r="J16" s="0" t="n">
        <f aca="false">((H16)*('Elemental Equation'!$E$2))</f>
        <v>0.0131516712229795</v>
      </c>
      <c r="N16" s="13"/>
    </row>
    <row r="17" customFormat="false" ht="15" hidden="false" customHeight="false" outlineLevel="0" collapsed="false">
      <c r="A17" s="13" t="s">
        <v>53</v>
      </c>
      <c r="B17" s="13" t="s">
        <v>54</v>
      </c>
      <c r="C17" s="13" t="n">
        <v>234789</v>
      </c>
      <c r="D17" s="13" t="n">
        <f aca="false">(C17)/($D$1)</f>
        <v>0.0586946380886051</v>
      </c>
      <c r="E17" s="13" t="n">
        <v>115.1</v>
      </c>
      <c r="F17" s="13" t="n">
        <f aca="false">(E17)-18.0153</f>
        <v>97.0847</v>
      </c>
      <c r="G17" s="13" t="n">
        <f aca="false">(D17)*(F17)</f>
        <v>5.6983513304408</v>
      </c>
      <c r="H17" s="16" t="n">
        <f aca="false">(G17)*1/($G$23)</f>
        <v>0.0522795228313535</v>
      </c>
      <c r="I17" s="0" t="n">
        <f aca="false">((H17)*('Elemental Equation'!$E$2)*1000)/(F17)</f>
        <v>0.162517471759221</v>
      </c>
      <c r="J17" s="0" t="n">
        <f aca="false">((H17)*('Elemental Equation'!$E$2))</f>
        <v>0.0157779599905025</v>
      </c>
    </row>
    <row r="18" customFormat="false" ht="15" hidden="false" customHeight="false" outlineLevel="0" collapsed="false">
      <c r="A18" s="13" t="s">
        <v>55</v>
      </c>
      <c r="B18" s="13" t="s">
        <v>56</v>
      </c>
      <c r="C18" s="13" t="n">
        <v>404286</v>
      </c>
      <c r="D18" s="13" t="n">
        <f aca="false">(C18)/($D$1)</f>
        <v>0.101067002518388</v>
      </c>
      <c r="E18" s="13" t="n">
        <v>105.1</v>
      </c>
      <c r="F18" s="13" t="n">
        <f aca="false">(E18)-18.0153</f>
        <v>87.0847</v>
      </c>
      <c r="G18" s="13" t="n">
        <f aca="false">(D18)*(F18)</f>
        <v>8.80138959421306</v>
      </c>
      <c r="H18" s="16" t="n">
        <f aca="false">(G18)*1/($G$23)</f>
        <v>0.0807483465928565</v>
      </c>
      <c r="I18" s="0" t="n">
        <f aca="false">((H18)*('Elemental Equation'!$E$2)*1000)/(F18)</f>
        <v>0.279840787207444</v>
      </c>
      <c r="J18" s="0" t="n">
        <f aca="false">((H18)*('Elemental Equation'!$E$2))</f>
        <v>0.0243698510017241</v>
      </c>
    </row>
    <row r="19" customFormat="false" ht="15" hidden="false" customHeight="false" outlineLevel="0" collapsed="false">
      <c r="A19" s="13" t="s">
        <v>57</v>
      </c>
      <c r="B19" s="13" t="s">
        <v>58</v>
      </c>
      <c r="C19" s="13" t="n">
        <v>240431</v>
      </c>
      <c r="D19" s="13" t="n">
        <f aca="false">(C19)/($D$1)</f>
        <v>0.0601050753241481</v>
      </c>
      <c r="E19" s="13" t="n">
        <v>119.1</v>
      </c>
      <c r="F19" s="13" t="n">
        <f aca="false">(E19)-18.0153</f>
        <v>101.0847</v>
      </c>
      <c r="G19" s="13" t="n">
        <f aca="false">(D19)*(F19)</f>
        <v>6.07570350761891</v>
      </c>
      <c r="H19" s="16" t="n">
        <f aca="false">(G19)*1/($G$23)</f>
        <v>0.0557415402848681</v>
      </c>
      <c r="I19" s="0" t="n">
        <f aca="false">((H19)*('Elemental Equation'!$E$2)*1000)/(F19)</f>
        <v>0.166422780677721</v>
      </c>
      <c r="J19" s="0" t="n">
        <f aca="false">((H19)*('Elemental Equation'!$E$2))</f>
        <v>0.0168227968579732</v>
      </c>
    </row>
    <row r="20" customFormat="false" ht="15" hidden="false" customHeight="false" outlineLevel="0" collapsed="false">
      <c r="A20" s="13" t="s">
        <v>59</v>
      </c>
      <c r="B20" s="13" t="s">
        <v>60</v>
      </c>
      <c r="C20" s="13" t="n">
        <v>47468</v>
      </c>
      <c r="D20" s="13" t="n">
        <f aca="false">(C20)/($D$1)</f>
        <v>0.0118664719419986</v>
      </c>
      <c r="E20" s="13" t="n">
        <v>204.2</v>
      </c>
      <c r="F20" s="13" t="n">
        <f aca="false">(E20)-18.0153</f>
        <v>186.1847</v>
      </c>
      <c r="G20" s="13" t="n">
        <f aca="false">(D20)*(F20)</f>
        <v>2.20935551857942</v>
      </c>
      <c r="H20" s="16" t="n">
        <f aca="false">(G20)*1/($G$23)</f>
        <v>0.0202697316431023</v>
      </c>
      <c r="I20" s="0" t="n">
        <f aca="false">((H20)*('Elemental Equation'!$E$2)*1000)/(F20)</f>
        <v>0.0328566472427018</v>
      </c>
      <c r="J20" s="0" t="n">
        <f aca="false">((H20)*('Elemental Equation'!$E$2))</f>
        <v>0.00611740500988827</v>
      </c>
    </row>
    <row r="21" customFormat="false" ht="15" hidden="false" customHeight="false" outlineLevel="0" collapsed="false">
      <c r="A21" s="13" t="s">
        <v>61</v>
      </c>
      <c r="B21" s="13" t="s">
        <v>62</v>
      </c>
      <c r="C21" s="13" t="n">
        <v>89950</v>
      </c>
      <c r="D21" s="13" t="n">
        <f aca="false">(C21)/($D$1)</f>
        <v>0.0224864993507789</v>
      </c>
      <c r="E21" s="13" t="n">
        <v>181.2</v>
      </c>
      <c r="F21" s="13" t="n">
        <f aca="false">(E21)-18.0153</f>
        <v>163.1847</v>
      </c>
      <c r="G21" s="13" t="n">
        <f aca="false">(D21)*(F21)</f>
        <v>3.66945265060705</v>
      </c>
      <c r="H21" s="16" t="n">
        <f aca="false">(G21)*1/($G$23)</f>
        <v>0.0336653924094115</v>
      </c>
      <c r="I21" s="0" t="n">
        <f aca="false">((H21)*('Elemental Equation'!$E$2)*1000)/(F21)</f>
        <v>0.0622620590604413</v>
      </c>
      <c r="J21" s="0" t="n">
        <f aca="false">((H21)*('Elemental Equation'!$E$2))</f>
        <v>0.0101602154291604</v>
      </c>
    </row>
    <row r="22" customFormat="false" ht="15" hidden="false" customHeight="false" outlineLevel="0" collapsed="false">
      <c r="A22" s="13" t="s">
        <v>63</v>
      </c>
      <c r="B22" s="13" t="s">
        <v>64</v>
      </c>
      <c r="C22" s="13" t="n">
        <v>234552</v>
      </c>
      <c r="D22" s="13" t="n">
        <f aca="false">(C22)/($D$1)</f>
        <v>0.0586353907251127</v>
      </c>
      <c r="E22" s="13" t="n">
        <v>117.1</v>
      </c>
      <c r="F22" s="13" t="n">
        <f aca="false">(E22)-18.0153</f>
        <v>99.0847</v>
      </c>
      <c r="G22" s="13" t="n">
        <f aca="false">(D22)*(F22)</f>
        <v>5.80987009938058</v>
      </c>
      <c r="H22" s="16" t="n">
        <f aca="false">(G22)*1/($G$23)</f>
        <v>0.0533026517486189</v>
      </c>
      <c r="I22" s="0" t="n">
        <f aca="false">((H22)*('Elemental Equation'!$E$2)*1000)/(F22)</f>
        <v>0.162353423865977</v>
      </c>
      <c r="J22" s="0" t="n">
        <f aca="false">((H22)*('Elemental Equation'!$E$2))</f>
        <v>0.0160867402977332</v>
      </c>
    </row>
    <row r="23" customFormat="false" ht="30" hidden="false" customHeight="false" outlineLevel="0" collapsed="false">
      <c r="A23" s="13" t="s">
        <v>65</v>
      </c>
      <c r="B23" s="13"/>
      <c r="C23" s="13" t="n">
        <f aca="false">SUM(C3:C22)</f>
        <v>4000178</v>
      </c>
      <c r="D23" s="13" t="n">
        <f aca="false">SUM(D3:D22)</f>
        <v>1</v>
      </c>
      <c r="E23" s="13" t="n">
        <f aca="false">SUM(E3:E22)</f>
        <v>2738.2</v>
      </c>
      <c r="F23" s="19" t="s">
        <v>66</v>
      </c>
      <c r="G23" s="13" t="n">
        <f aca="false">SUM(G3:G22)</f>
        <v>108.997768568449</v>
      </c>
      <c r="H23" s="16"/>
      <c r="J23" s="0" t="s">
        <v>67</v>
      </c>
      <c r="K23" s="13" t="n">
        <f aca="false">SUM(J3:J22)</f>
        <v>0.3018</v>
      </c>
    </row>
    <row r="24" customFormat="false" ht="45" hidden="false" customHeight="false" outlineLevel="0" collapsed="false">
      <c r="D24" s="16" t="s">
        <v>68</v>
      </c>
      <c r="E24" s="16" t="s">
        <v>69</v>
      </c>
      <c r="F24" s="16" t="s">
        <v>70</v>
      </c>
      <c r="G24" s="16" t="s">
        <v>71</v>
      </c>
      <c r="H24" s="16" t="s">
        <v>72</v>
      </c>
      <c r="I24" s="16" t="s">
        <v>73</v>
      </c>
      <c r="J24" s="16" t="s">
        <v>74</v>
      </c>
      <c r="K24" s="16" t="s">
        <v>75</v>
      </c>
      <c r="L24" s="16" t="s">
        <v>76</v>
      </c>
      <c r="M24" s="16" t="s">
        <v>77</v>
      </c>
    </row>
    <row r="25" customFormat="false" ht="15" hidden="false" customHeight="false" outlineLevel="0" collapsed="false">
      <c r="C25" s="13" t="s">
        <v>18</v>
      </c>
      <c r="D25" s="19" t="n">
        <v>3</v>
      </c>
      <c r="E25" s="19" t="n">
        <v>7</v>
      </c>
      <c r="F25" s="19" t="n">
        <v>2</v>
      </c>
      <c r="G25" s="23" t="n">
        <v>1</v>
      </c>
      <c r="H25" s="19" t="n">
        <v>0</v>
      </c>
      <c r="I25" s="24" t="n">
        <f aca="false">(D25)*($D3)</f>
        <v>0.317054391079597</v>
      </c>
      <c r="J25" s="24" t="n">
        <f aca="false">(E25)*($D3)</f>
        <v>0.739793579185726</v>
      </c>
      <c r="K25" s="24" t="n">
        <f aca="false">(F25)*($D3)</f>
        <v>0.211369594053065</v>
      </c>
      <c r="L25" s="24" t="n">
        <f aca="false">(G25)*($D3)</f>
        <v>0.105684797026532</v>
      </c>
      <c r="M25" s="24" t="n">
        <f aca="false">(H25)*($D3)</f>
        <v>0</v>
      </c>
    </row>
    <row r="26" customFormat="false" ht="15" hidden="false" customHeight="false" outlineLevel="0" collapsed="false">
      <c r="C26" s="13" t="s">
        <v>21</v>
      </c>
      <c r="D26" s="19" t="n">
        <v>6</v>
      </c>
      <c r="E26" s="19" t="n">
        <v>15</v>
      </c>
      <c r="F26" s="19" t="n">
        <v>2</v>
      </c>
      <c r="G26" s="23" t="n">
        <v>4</v>
      </c>
      <c r="H26" s="19" t="n">
        <v>0</v>
      </c>
      <c r="I26" s="24" t="n">
        <f aca="false">(D26)*($D4)</f>
        <v>0.382922459950532</v>
      </c>
      <c r="J26" s="24" t="n">
        <f aca="false">(E26)*($D4)</f>
        <v>0.95730614987633</v>
      </c>
      <c r="K26" s="24" t="n">
        <f aca="false">(F26)*($D4)</f>
        <v>0.127640819983511</v>
      </c>
      <c r="L26" s="24" t="n">
        <f aca="false">(G26)*($D4)</f>
        <v>0.255281639967021</v>
      </c>
      <c r="M26" s="24" t="n">
        <f aca="false">(H26)*($D4)</f>
        <v>0</v>
      </c>
    </row>
    <row r="27" customFormat="false" ht="15" hidden="false" customHeight="false" outlineLevel="0" collapsed="false">
      <c r="C27" s="13" t="s">
        <v>24</v>
      </c>
      <c r="D27" s="19" t="n">
        <v>4</v>
      </c>
      <c r="E27" s="19" t="n">
        <v>8</v>
      </c>
      <c r="F27" s="19" t="n">
        <v>3</v>
      </c>
      <c r="G27" s="23" t="n">
        <v>2</v>
      </c>
      <c r="H27" s="19" t="n">
        <v>0</v>
      </c>
      <c r="I27" s="24" t="n">
        <f aca="false">(D27)*($D5)</f>
        <v>0.134457016662758</v>
      </c>
      <c r="J27" s="24" t="n">
        <f aca="false">(E27)*($D5)</f>
        <v>0.268914033325517</v>
      </c>
      <c r="K27" s="24" t="n">
        <f aca="false">(F27)*($D5)</f>
        <v>0.100842762497069</v>
      </c>
      <c r="L27" s="24" t="n">
        <f aca="false">(G27)*($D5)</f>
        <v>0.0672285083313793</v>
      </c>
      <c r="M27" s="24" t="n">
        <f aca="false">(H27)*($D5)</f>
        <v>0</v>
      </c>
    </row>
    <row r="28" customFormat="false" ht="15" hidden="false" customHeight="false" outlineLevel="0" collapsed="false">
      <c r="C28" s="13" t="s">
        <v>27</v>
      </c>
      <c r="D28" s="19" t="n">
        <v>4</v>
      </c>
      <c r="E28" s="19" t="n">
        <v>6</v>
      </c>
      <c r="F28" s="19" t="n">
        <v>4</v>
      </c>
      <c r="G28" s="23" t="n">
        <v>1</v>
      </c>
      <c r="H28" s="19" t="n">
        <v>0</v>
      </c>
      <c r="I28" s="24" t="n">
        <f aca="false">(D28)*($D6)</f>
        <v>0.232084672232086</v>
      </c>
      <c r="J28" s="24" t="n">
        <f aca="false">(E28)*($D6)</f>
        <v>0.348127008348128</v>
      </c>
      <c r="K28" s="24" t="n">
        <f aca="false">(F28)*($D6)</f>
        <v>0.232084672232086</v>
      </c>
      <c r="L28" s="24" t="n">
        <f aca="false">(G28)*($D6)</f>
        <v>0.0580211680580214</v>
      </c>
      <c r="M28" s="24" t="n">
        <f aca="false">(H28)*($D6)</f>
        <v>0</v>
      </c>
    </row>
    <row r="29" customFormat="false" ht="15" hidden="false" customHeight="false" outlineLevel="0" collapsed="false">
      <c r="C29" s="13" t="s">
        <v>30</v>
      </c>
      <c r="D29" s="19" t="n">
        <v>3</v>
      </c>
      <c r="E29" s="19" t="n">
        <v>7</v>
      </c>
      <c r="F29" s="19" t="n">
        <v>2</v>
      </c>
      <c r="G29" s="23" t="n">
        <v>1</v>
      </c>
      <c r="H29" s="19" t="n">
        <v>1</v>
      </c>
      <c r="I29" s="24" t="n">
        <f aca="false">(D29)*($D7)</f>
        <v>0.0320648231153714</v>
      </c>
      <c r="J29" s="24" t="n">
        <f aca="false">(E29)*($D7)</f>
        <v>0.0748179206025332</v>
      </c>
      <c r="K29" s="24" t="n">
        <f aca="false">(F29)*($D7)</f>
        <v>0.0213765487435809</v>
      </c>
      <c r="L29" s="24" t="n">
        <f aca="false">(G29)*($D7)</f>
        <v>0.0106882743717905</v>
      </c>
      <c r="M29" s="24" t="n">
        <f aca="false">(H29)*($D7)</f>
        <v>0.0106882743717905</v>
      </c>
    </row>
    <row r="30" customFormat="false" ht="15" hidden="false" customHeight="false" outlineLevel="0" collapsed="false">
      <c r="C30" s="13" t="s">
        <v>35</v>
      </c>
      <c r="D30" s="19" t="n">
        <v>5</v>
      </c>
      <c r="E30" s="19" t="n">
        <v>10</v>
      </c>
      <c r="F30" s="19" t="n">
        <v>3</v>
      </c>
      <c r="G30" s="23" t="n">
        <v>2</v>
      </c>
      <c r="H30" s="19" t="n">
        <v>0</v>
      </c>
      <c r="I30" s="24" t="n">
        <f aca="false">(D30)*($D8)</f>
        <v>0.222162613763688</v>
      </c>
      <c r="J30" s="24" t="n">
        <f aca="false">(E30)*($D8)</f>
        <v>0.444325227527375</v>
      </c>
      <c r="K30" s="24" t="n">
        <f aca="false">(F30)*($D8)</f>
        <v>0.133297568258213</v>
      </c>
      <c r="L30" s="24" t="n">
        <f aca="false">(G30)*($D8)</f>
        <v>0.088865045505475</v>
      </c>
      <c r="M30" s="24" t="n">
        <f aca="false">(H30)*($D8)</f>
        <v>0</v>
      </c>
    </row>
    <row r="31" customFormat="false" ht="15" hidden="false" customHeight="false" outlineLevel="0" collapsed="false">
      <c r="C31" s="13" t="s">
        <v>37</v>
      </c>
      <c r="D31" s="19" t="n">
        <v>5</v>
      </c>
      <c r="E31" s="19" t="n">
        <v>8</v>
      </c>
      <c r="F31" s="19" t="n">
        <v>4</v>
      </c>
      <c r="G31" s="23" t="n">
        <v>1</v>
      </c>
      <c r="H31" s="19" t="n">
        <v>0</v>
      </c>
      <c r="I31" s="24" t="n">
        <f aca="false">(D31)*($D9)</f>
        <v>0.267446848615237</v>
      </c>
      <c r="J31" s="24" t="n">
        <f aca="false">(E31)*($D9)</f>
        <v>0.427914957784379</v>
      </c>
      <c r="K31" s="24" t="n">
        <f aca="false">(F31)*($D9)</f>
        <v>0.213957478892189</v>
      </c>
      <c r="L31" s="24" t="n">
        <f aca="false">(G31)*($D9)</f>
        <v>0.0534893697230473</v>
      </c>
      <c r="M31" s="24" t="n">
        <f aca="false">(H31)*($D9)</f>
        <v>0</v>
      </c>
    </row>
    <row r="32" customFormat="false" ht="15" hidden="false" customHeight="false" outlineLevel="0" collapsed="false">
      <c r="C32" s="13" t="s">
        <v>39</v>
      </c>
      <c r="D32" s="19" t="n">
        <v>2</v>
      </c>
      <c r="E32" s="19" t="n">
        <v>5</v>
      </c>
      <c r="F32" s="19" t="n">
        <v>2</v>
      </c>
      <c r="G32" s="23" t="n">
        <v>1</v>
      </c>
      <c r="H32" s="19" t="n">
        <v>0</v>
      </c>
      <c r="I32" s="24" t="n">
        <f aca="false">(D32)*($D10)</f>
        <v>0.128845766363397</v>
      </c>
      <c r="J32" s="24" t="n">
        <f aca="false">(E32)*($D10)</f>
        <v>0.322114415908492</v>
      </c>
      <c r="K32" s="24" t="n">
        <f aca="false">(F32)*($D10)</f>
        <v>0.128845766363397</v>
      </c>
      <c r="L32" s="24" t="n">
        <f aca="false">(G32)*($D10)</f>
        <v>0.0644228831816984</v>
      </c>
      <c r="M32" s="24" t="n">
        <f aca="false">(H32)*($D10)</f>
        <v>0</v>
      </c>
    </row>
    <row r="33" customFormat="false" ht="15" hidden="false" customHeight="false" outlineLevel="0" collapsed="false">
      <c r="C33" s="13" t="s">
        <v>41</v>
      </c>
      <c r="D33" s="19" t="n">
        <v>6</v>
      </c>
      <c r="E33" s="19" t="n">
        <v>9</v>
      </c>
      <c r="F33" s="19" t="n">
        <v>2</v>
      </c>
      <c r="G33" s="23" t="n">
        <v>3</v>
      </c>
      <c r="H33" s="19" t="n">
        <v>0</v>
      </c>
      <c r="I33" s="24" t="n">
        <f aca="false">(D33)*($D11)</f>
        <v>0.157686482951509</v>
      </c>
      <c r="J33" s="24" t="n">
        <f aca="false">(E33)*($D11)</f>
        <v>0.236529724427263</v>
      </c>
      <c r="K33" s="24" t="n">
        <f aca="false">(F33)*($D11)</f>
        <v>0.0525621609838362</v>
      </c>
      <c r="L33" s="24" t="n">
        <f aca="false">(G33)*($D11)</f>
        <v>0.0788432414757543</v>
      </c>
      <c r="M33" s="24" t="n">
        <f aca="false">(H33)*($D11)</f>
        <v>0</v>
      </c>
    </row>
    <row r="34" customFormat="false" ht="15" hidden="false" customHeight="false" outlineLevel="0" collapsed="false">
      <c r="C34" s="13" t="s">
        <v>43</v>
      </c>
      <c r="D34" s="19" t="n">
        <v>6</v>
      </c>
      <c r="E34" s="19" t="n">
        <v>13</v>
      </c>
      <c r="F34" s="19" t="n">
        <v>2</v>
      </c>
      <c r="G34" s="23" t="n">
        <v>1</v>
      </c>
      <c r="H34" s="19" t="n">
        <v>0</v>
      </c>
      <c r="I34" s="24" t="n">
        <f aca="false">(D34)*($D12)</f>
        <v>0.249299406176425</v>
      </c>
      <c r="J34" s="24" t="n">
        <f aca="false">(E34)*($D12)</f>
        <v>0.540148713382255</v>
      </c>
      <c r="K34" s="24" t="n">
        <f aca="false">(F34)*($D12)</f>
        <v>0.0830998020588084</v>
      </c>
      <c r="L34" s="24" t="n">
        <f aca="false">(G34)*($D12)</f>
        <v>0.0415499010294042</v>
      </c>
      <c r="M34" s="24" t="n">
        <f aca="false">(H34)*($D12)</f>
        <v>0</v>
      </c>
    </row>
    <row r="35" customFormat="false" ht="15" hidden="false" customHeight="false" outlineLevel="0" collapsed="false">
      <c r="C35" s="13" t="s">
        <v>45</v>
      </c>
      <c r="D35" s="19" t="n">
        <v>6</v>
      </c>
      <c r="E35" s="19" t="n">
        <v>13</v>
      </c>
      <c r="F35" s="19" t="n">
        <v>2</v>
      </c>
      <c r="G35" s="23" t="n">
        <v>1</v>
      </c>
      <c r="H35" s="19" t="n">
        <v>0</v>
      </c>
      <c r="I35" s="24" t="n">
        <f aca="false">(D35)*($D13)</f>
        <v>0.537463582870562</v>
      </c>
      <c r="J35" s="24" t="n">
        <f aca="false">(E35)*($D13)</f>
        <v>1.16450442955288</v>
      </c>
      <c r="K35" s="24" t="n">
        <f aca="false">(F35)*($D13)</f>
        <v>0.179154527623521</v>
      </c>
      <c r="L35" s="24" t="n">
        <f aca="false">(G35)*($D13)</f>
        <v>0.0895772638117604</v>
      </c>
      <c r="M35" s="24" t="n">
        <f aca="false">(H35)*($D13)</f>
        <v>0</v>
      </c>
    </row>
    <row r="36" customFormat="false" ht="15" hidden="false" customHeight="false" outlineLevel="0" collapsed="false">
      <c r="C36" s="13" t="s">
        <v>47</v>
      </c>
      <c r="D36" s="19" t="n">
        <v>6</v>
      </c>
      <c r="E36" s="19" t="n">
        <v>15</v>
      </c>
      <c r="F36" s="19" t="n">
        <v>2</v>
      </c>
      <c r="G36" s="23" t="n">
        <v>2</v>
      </c>
      <c r="H36" s="19" t="n">
        <v>0</v>
      </c>
      <c r="I36" s="24" t="n">
        <f aca="false">(D36)*($D14)</f>
        <v>0.264375235302029</v>
      </c>
      <c r="J36" s="24" t="n">
        <f aca="false">(E36)*($D14)</f>
        <v>0.660938088255073</v>
      </c>
      <c r="K36" s="24" t="n">
        <f aca="false">(F36)*($D14)</f>
        <v>0.0881250784340097</v>
      </c>
      <c r="L36" s="24" t="n">
        <f aca="false">(G36)*($D14)</f>
        <v>0.0881250784340097</v>
      </c>
      <c r="M36" s="24" t="n">
        <f aca="false">(H36)*($D14)</f>
        <v>0</v>
      </c>
    </row>
    <row r="37" customFormat="false" ht="15" hidden="false" customHeight="false" outlineLevel="0" collapsed="false">
      <c r="C37" s="13" t="s">
        <v>49</v>
      </c>
      <c r="D37" s="19" t="n">
        <v>5</v>
      </c>
      <c r="E37" s="19" t="n">
        <v>11</v>
      </c>
      <c r="F37" s="19" t="n">
        <v>2</v>
      </c>
      <c r="G37" s="23" t="n">
        <v>1</v>
      </c>
      <c r="H37" s="19" t="n">
        <v>1</v>
      </c>
      <c r="I37" s="24" t="n">
        <f aca="false">(D37)*($D15)</f>
        <v>0.0961457215153926</v>
      </c>
      <c r="J37" s="24" t="n">
        <f aca="false">(E37)*($D15)</f>
        <v>0.211520587333864</v>
      </c>
      <c r="K37" s="24" t="n">
        <f aca="false">(F37)*($D15)</f>
        <v>0.038458288606157</v>
      </c>
      <c r="L37" s="24" t="n">
        <f aca="false">(G37)*($D15)</f>
        <v>0.0192291443030785</v>
      </c>
      <c r="M37" s="24" t="n">
        <f aca="false">(H37)*($D15)</f>
        <v>0.0192291443030785</v>
      </c>
    </row>
    <row r="38" customFormat="false" ht="15" hidden="false" customHeight="false" outlineLevel="0" collapsed="false">
      <c r="C38" s="13" t="s">
        <v>51</v>
      </c>
      <c r="D38" s="19" t="n">
        <v>9</v>
      </c>
      <c r="E38" s="19" t="n">
        <v>11</v>
      </c>
      <c r="F38" s="19" t="n">
        <v>2</v>
      </c>
      <c r="G38" s="23" t="n">
        <v>1</v>
      </c>
      <c r="H38" s="19" t="n">
        <v>0</v>
      </c>
      <c r="I38" s="24" t="n">
        <f aca="false">(D38)*($D16)</f>
        <v>0.290441825338772</v>
      </c>
      <c r="J38" s="24" t="n">
        <f aca="false">(E38)*($D16)</f>
        <v>0.354984453191833</v>
      </c>
      <c r="K38" s="24" t="n">
        <f aca="false">(F38)*($D16)</f>
        <v>0.0645426278530605</v>
      </c>
      <c r="L38" s="24" t="n">
        <f aca="false">(G38)*($D16)</f>
        <v>0.0322713139265303</v>
      </c>
      <c r="M38" s="24" t="n">
        <f aca="false">(H38)*($D16)</f>
        <v>0</v>
      </c>
    </row>
    <row r="39" customFormat="false" ht="15" hidden="false" customHeight="false" outlineLevel="0" collapsed="false">
      <c r="C39" s="13" t="s">
        <v>53</v>
      </c>
      <c r="D39" s="19" t="n">
        <v>5</v>
      </c>
      <c r="E39" s="19" t="n">
        <v>9</v>
      </c>
      <c r="F39" s="19" t="n">
        <v>2</v>
      </c>
      <c r="G39" s="23" t="n">
        <v>1</v>
      </c>
      <c r="H39" s="19" t="n">
        <v>0</v>
      </c>
      <c r="I39" s="24" t="n">
        <f aca="false">(D39)*($D17)</f>
        <v>0.293473190443025</v>
      </c>
      <c r="J39" s="24" t="n">
        <f aca="false">(E39)*($D17)</f>
        <v>0.528251742797445</v>
      </c>
      <c r="K39" s="24" t="n">
        <f aca="false">(F39)*($D17)</f>
        <v>0.11738927617721</v>
      </c>
      <c r="L39" s="24" t="n">
        <f aca="false">(G39)*($D17)</f>
        <v>0.0586946380886051</v>
      </c>
      <c r="M39" s="24" t="n">
        <f aca="false">(H39)*($D17)</f>
        <v>0</v>
      </c>
    </row>
    <row r="40" customFormat="false" ht="15" hidden="false" customHeight="false" outlineLevel="0" collapsed="false">
      <c r="C40" s="13" t="s">
        <v>55</v>
      </c>
      <c r="D40" s="19" t="n">
        <v>3</v>
      </c>
      <c r="E40" s="19" t="n">
        <v>7</v>
      </c>
      <c r="F40" s="19" t="n">
        <v>3</v>
      </c>
      <c r="G40" s="23" t="n">
        <v>1</v>
      </c>
      <c r="H40" s="19" t="n">
        <v>0</v>
      </c>
      <c r="I40" s="24" t="n">
        <f aca="false">(D40)*($D18)</f>
        <v>0.303201007555164</v>
      </c>
      <c r="J40" s="24" t="n">
        <f aca="false">(E40)*($D18)</f>
        <v>0.707469017628716</v>
      </c>
      <c r="K40" s="24" t="n">
        <f aca="false">(F40)*($D18)</f>
        <v>0.303201007555164</v>
      </c>
      <c r="L40" s="24" t="n">
        <f aca="false">(G40)*($D18)</f>
        <v>0.101067002518388</v>
      </c>
      <c r="M40" s="24" t="n">
        <f aca="false">(H40)*($D18)</f>
        <v>0</v>
      </c>
    </row>
    <row r="41" customFormat="false" ht="15" hidden="false" customHeight="false" outlineLevel="0" collapsed="false">
      <c r="C41" s="13" t="s">
        <v>57</v>
      </c>
      <c r="D41" s="19" t="n">
        <v>4</v>
      </c>
      <c r="E41" s="19" t="n">
        <v>9</v>
      </c>
      <c r="F41" s="19" t="n">
        <v>3</v>
      </c>
      <c r="G41" s="23" t="n">
        <v>1</v>
      </c>
      <c r="H41" s="19" t="n">
        <v>0</v>
      </c>
      <c r="I41" s="24" t="n">
        <f aca="false">(D41)*($D19)</f>
        <v>0.240420301296592</v>
      </c>
      <c r="J41" s="24" t="n">
        <f aca="false">(E41)*($D19)</f>
        <v>0.540945677917333</v>
      </c>
      <c r="K41" s="24" t="n">
        <f aca="false">(F41)*($D19)</f>
        <v>0.180315225972444</v>
      </c>
      <c r="L41" s="24" t="n">
        <f aca="false">(G41)*($D19)</f>
        <v>0.0601050753241481</v>
      </c>
      <c r="M41" s="24" t="n">
        <f aca="false">(H41)*($D19)</f>
        <v>0</v>
      </c>
    </row>
    <row r="42" customFormat="false" ht="15" hidden="false" customHeight="false" outlineLevel="0" collapsed="false">
      <c r="C42" s="13" t="s">
        <v>59</v>
      </c>
      <c r="D42" s="19" t="n">
        <v>11</v>
      </c>
      <c r="E42" s="19" t="n">
        <v>12</v>
      </c>
      <c r="F42" s="19" t="n">
        <v>2</v>
      </c>
      <c r="G42" s="23" t="n">
        <v>2</v>
      </c>
      <c r="H42" s="19" t="n">
        <v>0</v>
      </c>
      <c r="I42" s="24" t="n">
        <f aca="false">(D42)*($D20)</f>
        <v>0.130531191361984</v>
      </c>
      <c r="J42" s="24" t="n">
        <f aca="false">(E42)*($D20)</f>
        <v>0.142397663303983</v>
      </c>
      <c r="K42" s="24" t="n">
        <f aca="false">(F42)*($D20)</f>
        <v>0.0237329438839972</v>
      </c>
      <c r="L42" s="24" t="n">
        <f aca="false">(G42)*($D20)</f>
        <v>0.0237329438839972</v>
      </c>
      <c r="M42" s="24" t="n">
        <f aca="false">(H42)*($D20)</f>
        <v>0</v>
      </c>
    </row>
    <row r="43" customFormat="false" ht="15" hidden="false" customHeight="false" outlineLevel="0" collapsed="false">
      <c r="C43" s="13" t="s">
        <v>61</v>
      </c>
      <c r="D43" s="19" t="n">
        <v>9</v>
      </c>
      <c r="E43" s="19" t="n">
        <v>11</v>
      </c>
      <c r="F43" s="19" t="n">
        <v>3</v>
      </c>
      <c r="G43" s="23" t="n">
        <v>1</v>
      </c>
      <c r="H43" s="19" t="n">
        <v>0</v>
      </c>
      <c r="I43" s="24" t="n">
        <f aca="false">(D43)*($D21)</f>
        <v>0.20237849415701</v>
      </c>
      <c r="J43" s="24" t="n">
        <f aca="false">(E43)*($D21)</f>
        <v>0.247351492858568</v>
      </c>
      <c r="K43" s="24" t="n">
        <f aca="false">(F43)*($D21)</f>
        <v>0.0674594980523367</v>
      </c>
      <c r="L43" s="24" t="n">
        <f aca="false">(G43)*($D21)</f>
        <v>0.0224864993507789</v>
      </c>
      <c r="M43" s="24" t="n">
        <f aca="false">(H43)*($D21)</f>
        <v>0</v>
      </c>
    </row>
    <row r="44" customFormat="false" ht="15" hidden="false" customHeight="false" outlineLevel="0" collapsed="false">
      <c r="C44" s="13" t="s">
        <v>63</v>
      </c>
      <c r="D44" s="19" t="n">
        <v>5</v>
      </c>
      <c r="E44" s="19" t="n">
        <v>11</v>
      </c>
      <c r="F44" s="19" t="n">
        <v>2</v>
      </c>
      <c r="G44" s="23" t="n">
        <v>1</v>
      </c>
      <c r="H44" s="19" t="n">
        <v>0</v>
      </c>
      <c r="I44" s="24" t="n">
        <f aca="false">(D44)*($D22)</f>
        <v>0.293176953625564</v>
      </c>
      <c r="J44" s="24" t="n">
        <f aca="false">(E44)*($D22)</f>
        <v>0.64498929797624</v>
      </c>
      <c r="K44" s="24" t="n">
        <f aca="false">(F44)*($D22)</f>
        <v>0.117270781450225</v>
      </c>
      <c r="L44" s="24" t="n">
        <f aca="false">(G44)*($D22)</f>
        <v>0.0586353907251127</v>
      </c>
      <c r="M44" s="24" t="n">
        <f aca="false">(H44)*($D22)</f>
        <v>0</v>
      </c>
    </row>
    <row r="45" customFormat="false" ht="45" hidden="false" customHeight="false" outlineLevel="0" collapsed="false">
      <c r="C45" s="16" t="s">
        <v>78</v>
      </c>
      <c r="D45" s="13" t="n">
        <f aca="false">SUM(D25:D44)</f>
        <v>107</v>
      </c>
      <c r="E45" s="13" t="n">
        <f aca="false">SUM(E25:E44)</f>
        <v>197</v>
      </c>
      <c r="F45" s="13" t="n">
        <f aca="false">SUM(F25:F44)</f>
        <v>49</v>
      </c>
      <c r="G45" s="13" t="n">
        <f aca="false">SUM(G25:G44)</f>
        <v>29</v>
      </c>
      <c r="H45" s="13" t="n">
        <f aca="false">SUM(H25:H44)</f>
        <v>2</v>
      </c>
      <c r="I45" s="13" t="n">
        <f aca="false">SUM(I25:I44)</f>
        <v>4.7756319843767</v>
      </c>
      <c r="J45" s="13" t="n">
        <f aca="false">SUM(J25:J44)</f>
        <v>9.56334418118394</v>
      </c>
      <c r="K45" s="13" t="n">
        <f aca="false">SUM(K25:K44)</f>
        <v>2.48472642967388</v>
      </c>
      <c r="L45" s="13" t="n">
        <f aca="false">SUM(L25:L44)</f>
        <v>1.37799917903653</v>
      </c>
      <c r="M45" s="13" t="n">
        <f aca="false">SUM(M25:M44)</f>
        <v>0.029917418674869</v>
      </c>
    </row>
    <row r="46" customFormat="false" ht="15" hidden="false" customHeight="false" outlineLevel="0" collapsed="false">
      <c r="D46" s="24"/>
      <c r="E46" s="24"/>
      <c r="F46" s="24"/>
      <c r="G46" s="24"/>
      <c r="H46" s="24" t="s">
        <v>79</v>
      </c>
      <c r="I46" s="24" t="n">
        <f aca="false">(I45)/($I$45)</f>
        <v>1</v>
      </c>
      <c r="J46" s="24" t="n">
        <f aca="false">(J45)/($I$45)</f>
        <v>2.00252955262677</v>
      </c>
      <c r="K46" s="24" t="n">
        <f aca="false">(K45)/($I$45)</f>
        <v>0.520292693784314</v>
      </c>
      <c r="L46" s="24" t="n">
        <f aca="false">(L45)/($I$45)</f>
        <v>0.288548025380642</v>
      </c>
      <c r="M46" s="24" t="n">
        <f aca="false">(M45)/($I$45)</f>
        <v>0.00626459885785645</v>
      </c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4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6" activeCellId="1" sqref="G45:J45 G6"/>
    </sheetView>
  </sheetViews>
  <sheetFormatPr defaultColWidth="10.5390625" defaultRowHeight="15" zeroHeight="false" outlineLevelRow="0" outlineLevelCol="0"/>
  <cols>
    <col collapsed="false" customWidth="true" hidden="false" outlineLevel="0" max="1" min="1" style="0" width="29.72"/>
    <col collapsed="false" customWidth="true" hidden="false" outlineLevel="0" max="2" min="2" style="0" width="28.86"/>
    <col collapsed="false" customWidth="true" hidden="false" outlineLevel="0" max="3" min="3" style="0" width="18.43"/>
    <col collapsed="false" customWidth="true" hidden="false" outlineLevel="0" max="4" min="4" style="0" width="19.85"/>
    <col collapsed="false" customWidth="true" hidden="false" outlineLevel="0" max="5" min="5" style="0" width="26.72"/>
    <col collapsed="false" customWidth="true" hidden="false" outlineLevel="0" max="6" min="6" style="0" width="30"/>
    <col collapsed="false" customWidth="true" hidden="false" outlineLevel="0" max="7" min="7" style="0" width="18.85"/>
    <col collapsed="false" customWidth="true" hidden="false" outlineLevel="0" max="8" min="8" style="0" width="23.72"/>
    <col collapsed="false" customWidth="true" hidden="false" outlineLevel="0" max="13" min="13" style="0" width="28.14"/>
  </cols>
  <sheetData>
    <row r="1" customFormat="false" ht="45" hidden="false" customHeight="false" outlineLevel="0" collapsed="false">
      <c r="A1" s="25" t="s">
        <v>0</v>
      </c>
      <c r="B1" s="2" t="s">
        <v>80</v>
      </c>
      <c r="C1" s="2"/>
      <c r="D1" s="3" t="n">
        <f aca="false">(19667013-22900)</f>
        <v>19644113</v>
      </c>
    </row>
    <row r="2" customFormat="false" ht="106.5" hidden="false" customHeight="true" outlineLevel="0" collapsed="false">
      <c r="A2" s="26" t="s">
        <v>81</v>
      </c>
      <c r="B2" s="7" t="s">
        <v>82</v>
      </c>
      <c r="C2" s="27" t="s">
        <v>9</v>
      </c>
      <c r="D2" s="9" t="s">
        <v>10</v>
      </c>
      <c r="E2" s="10" t="s">
        <v>11</v>
      </c>
      <c r="F2" s="11" t="s">
        <v>83</v>
      </c>
      <c r="G2" s="9" t="s">
        <v>84</v>
      </c>
      <c r="H2" s="12" t="s">
        <v>85</v>
      </c>
      <c r="I2" s="13" t="s">
        <v>86</v>
      </c>
      <c r="J2" s="13" t="s">
        <v>87</v>
      </c>
      <c r="M2" s="19" t="s">
        <v>88</v>
      </c>
      <c r="N2" s="28" t="n">
        <v>0.00958470077373857</v>
      </c>
      <c r="O2" s="13"/>
      <c r="P2" s="13"/>
    </row>
    <row r="3" customFormat="false" ht="15" hidden="false" customHeight="false" outlineLevel="0" collapsed="false">
      <c r="A3" s="0" t="s">
        <v>89</v>
      </c>
      <c r="B3" s="0" t="s">
        <v>19</v>
      </c>
      <c r="C3" s="29" t="n">
        <f aca="false">9030014/2</f>
        <v>4515007</v>
      </c>
      <c r="D3" s="29" t="n">
        <f aca="false">(C3)/($D$1)</f>
        <v>0.229840207089014</v>
      </c>
      <c r="E3" s="30" t="n">
        <v>491.181623</v>
      </c>
      <c r="F3" s="29" t="n">
        <f aca="false">(E3)-173.943</f>
        <v>317.238623</v>
      </c>
      <c r="G3" s="13" t="n">
        <f aca="false">(D3)*(F3)</f>
        <v>72.9141908069538</v>
      </c>
      <c r="H3" s="29" t="n">
        <f aca="false">(G3)*1/($G$7)</f>
        <v>0.232953567014644</v>
      </c>
      <c r="I3" s="31" t="n">
        <f aca="false">((H3)*('Elemental Equation'!$E$3)*1000)/(F3)</f>
        <v>0.00220294961072231</v>
      </c>
      <c r="J3" s="31" t="n">
        <f aca="false">((H3)*('Elemental Equation'!$E$3))</f>
        <v>0.000698860701043932</v>
      </c>
      <c r="M3" s="13" t="s">
        <v>20</v>
      </c>
      <c r="N3" s="13" t="n">
        <f aca="false">'Elemental Equation'!B3</f>
        <v>0.003</v>
      </c>
      <c r="O3" s="13"/>
      <c r="P3" s="13"/>
    </row>
    <row r="4" customFormat="false" ht="15" hidden="false" customHeight="false" outlineLevel="0" collapsed="false">
      <c r="A4" s="0" t="s">
        <v>90</v>
      </c>
      <c r="B4" s="0" t="s">
        <v>58</v>
      </c>
      <c r="C4" s="29" t="n">
        <f aca="false">9030014/2</f>
        <v>4515007</v>
      </c>
      <c r="D4" s="29" t="n">
        <f aca="false">(C4)/($D$1)</f>
        <v>0.229840207089014</v>
      </c>
      <c r="E4" s="30" t="n">
        <v>482.168</v>
      </c>
      <c r="F4" s="29" t="n">
        <f aca="false">(E4)-173.943</f>
        <v>308.225</v>
      </c>
      <c r="G4" s="13" t="n">
        <f aca="false">(D4)*(F4)</f>
        <v>70.8424978300115</v>
      </c>
      <c r="H4" s="29" t="n">
        <f aca="false">(G4)*1/($G$7)</f>
        <v>0.226334714588295</v>
      </c>
      <c r="I4" s="31" t="n">
        <f aca="false">((H4)*('Elemental Equation'!$E$3)*1000)/(F4)</f>
        <v>0.00220294961072231</v>
      </c>
      <c r="J4" s="31" t="n">
        <f aca="false">((H4)*('Elemental Equation'!$E$3))</f>
        <v>0.000679004143764884</v>
      </c>
      <c r="M4" s="13" t="s">
        <v>23</v>
      </c>
      <c r="N4" s="22" t="n">
        <v>1.365</v>
      </c>
      <c r="O4" s="13"/>
      <c r="P4" s="13"/>
    </row>
    <row r="5" customFormat="false" ht="15" hidden="false" customHeight="false" outlineLevel="0" collapsed="false">
      <c r="A5" s="0" t="s">
        <v>91</v>
      </c>
      <c r="B5" s="0" t="s">
        <v>40</v>
      </c>
      <c r="C5" s="20" t="n">
        <f aca="false">10614099/2</f>
        <v>5307049.5</v>
      </c>
      <c r="D5" s="29" t="n">
        <f aca="false">(C5)/($D$1)</f>
        <v>0.270159792910986</v>
      </c>
      <c r="E5" s="30" t="n">
        <v>507.181023</v>
      </c>
      <c r="F5" s="29" t="n">
        <f aca="false">(E5)-173.943</f>
        <v>333.238023</v>
      </c>
      <c r="G5" s="13" t="n">
        <f aca="false">(D5)*(F5)</f>
        <v>90.0275152837463</v>
      </c>
      <c r="H5" s="29" t="n">
        <f aca="false">(G5)*1/($G$7)</f>
        <v>0.287628931799295</v>
      </c>
      <c r="I5" s="31" t="n">
        <f aca="false">((H5)*('Elemental Equation'!$E$3)*1000)/(F5)</f>
        <v>0.00258940077614698</v>
      </c>
      <c r="J5" s="31" t="n">
        <f aca="false">((H5)*('Elemental Equation'!$E$3))</f>
        <v>0.000862886795397884</v>
      </c>
      <c r="M5" s="13" t="s">
        <v>26</v>
      </c>
      <c r="N5" s="13" t="n">
        <f aca="false">((N2)*(N4))</f>
        <v>0.0130831165561531</v>
      </c>
      <c r="O5" s="13"/>
      <c r="P5" s="13"/>
    </row>
    <row r="6" customFormat="false" ht="15" hidden="false" customHeight="false" outlineLevel="0" collapsed="false">
      <c r="A6" s="0" t="s">
        <v>92</v>
      </c>
      <c r="B6" s="0" t="s">
        <v>31</v>
      </c>
      <c r="C6" s="20" t="n">
        <f aca="false">10614099/2</f>
        <v>5307049.5</v>
      </c>
      <c r="D6" s="29" t="n">
        <f aca="false">(C6)/($D$1)</f>
        <v>0.270159792910986</v>
      </c>
      <c r="E6" s="30" t="n">
        <v>467.156923</v>
      </c>
      <c r="F6" s="29" t="n">
        <f aca="false">(E6)-173.943</f>
        <v>293.213923</v>
      </c>
      <c r="G6" s="13" t="n">
        <f aca="false">(D6)*(F6)</f>
        <v>79.2146127162977</v>
      </c>
      <c r="H6" s="29" t="n">
        <f aca="false">(G6)*1/($G$7)</f>
        <v>0.253082786597767</v>
      </c>
      <c r="I6" s="31" t="n">
        <f aca="false">((H6)*('Elemental Equation'!$E$3)*1000)/(F6)</f>
        <v>0.00258940077614698</v>
      </c>
      <c r="J6" s="31" t="n">
        <f aca="false">((H6)*('Elemental Equation'!$E$3))</f>
        <v>0.0007592483597933</v>
      </c>
    </row>
    <row r="7" customFormat="false" ht="30" hidden="false" customHeight="false" outlineLevel="0" collapsed="false">
      <c r="C7" s="29"/>
      <c r="D7" s="29"/>
      <c r="E7" s="29"/>
      <c r="F7" s="19" t="s">
        <v>93</v>
      </c>
      <c r="G7" s="13" t="n">
        <f aca="false">SUM(G3:G6)</f>
        <v>312.998816637009</v>
      </c>
      <c r="H7" s="29"/>
      <c r="I7" s="31" t="n">
        <f aca="false">SUM(I3:I6)</f>
        <v>0.00958470077373858</v>
      </c>
      <c r="J7" s="29"/>
    </row>
    <row r="8" customFormat="false" ht="15" hidden="false" customHeight="false" outlineLevel="0" collapsed="false">
      <c r="C8" s="29"/>
      <c r="D8" s="29"/>
      <c r="E8" s="29"/>
      <c r="F8" s="29"/>
      <c r="G8" s="29"/>
      <c r="H8" s="29"/>
      <c r="I8" s="29"/>
      <c r="J8" s="29"/>
    </row>
    <row r="9" customFormat="false" ht="15" hidden="false" customHeight="false" outlineLevel="0" collapsed="false">
      <c r="C9" s="29"/>
      <c r="D9" s="29"/>
      <c r="E9" s="29"/>
      <c r="F9" s="29"/>
      <c r="G9" s="29"/>
      <c r="H9" s="29"/>
      <c r="I9" s="29"/>
      <c r="J9" s="29"/>
    </row>
    <row r="10" customFormat="false" ht="15" hidden="false" customHeight="false" outlineLevel="0" collapsed="false">
      <c r="C10" s="29"/>
      <c r="D10" s="29"/>
      <c r="E10" s="29"/>
      <c r="F10" s="29"/>
      <c r="G10" s="29"/>
      <c r="H10" s="29"/>
      <c r="I10" s="29"/>
      <c r="J10" s="29"/>
    </row>
    <row r="11" customFormat="false" ht="15" hidden="false" customHeight="false" outlineLevel="0" collapsed="false">
      <c r="C11" s="29"/>
      <c r="D11" s="29"/>
      <c r="E11" s="29"/>
      <c r="F11" s="29"/>
      <c r="G11" s="29"/>
      <c r="H11" s="29"/>
      <c r="I11" s="29"/>
      <c r="J11" s="29"/>
    </row>
    <row r="12" customFormat="false" ht="15" hidden="false" customHeight="false" outlineLevel="0" collapsed="false">
      <c r="C12" s="29"/>
      <c r="D12" s="29"/>
      <c r="E12" s="29"/>
      <c r="F12" s="29"/>
      <c r="G12" s="29"/>
      <c r="H12" s="29"/>
      <c r="I12" s="29"/>
      <c r="J12" s="29"/>
    </row>
    <row r="13" customFormat="false" ht="45" hidden="false" customHeight="false" outlineLevel="0" collapsed="false">
      <c r="C13" s="16" t="s">
        <v>68</v>
      </c>
      <c r="D13" s="16" t="s">
        <v>69</v>
      </c>
      <c r="E13" s="16" t="s">
        <v>94</v>
      </c>
      <c r="F13" s="16" t="s">
        <v>71</v>
      </c>
      <c r="G13" s="16" t="s">
        <v>95</v>
      </c>
      <c r="H13" s="16" t="s">
        <v>73</v>
      </c>
      <c r="I13" s="16" t="s">
        <v>74</v>
      </c>
      <c r="J13" s="16" t="s">
        <v>75</v>
      </c>
      <c r="K13" s="16" t="s">
        <v>76</v>
      </c>
      <c r="L13" s="16" t="s">
        <v>96</v>
      </c>
    </row>
    <row r="14" customFormat="false" ht="15" hidden="false" customHeight="false" outlineLevel="0" collapsed="false">
      <c r="B14" s="13" t="s">
        <v>97</v>
      </c>
      <c r="C14" s="19" t="n">
        <v>10</v>
      </c>
      <c r="D14" s="23" t="n">
        <v>12</v>
      </c>
      <c r="E14" s="19" t="n">
        <f aca="false">12-7</f>
        <v>5</v>
      </c>
      <c r="F14" s="19" t="n">
        <v>5</v>
      </c>
      <c r="G14" s="19" t="n">
        <v>1</v>
      </c>
      <c r="H14" s="24" t="n">
        <f aca="false">(C14)*(D3)</f>
        <v>2.29840207089014</v>
      </c>
      <c r="I14" s="24" t="n">
        <f aca="false">(D14)*(D3)</f>
        <v>2.75808248506817</v>
      </c>
      <c r="J14" s="24" t="n">
        <f aca="false">(E14)*(D3)</f>
        <v>1.14920103544507</v>
      </c>
      <c r="K14" s="24" t="n">
        <f aca="false">(F14)*(D3)</f>
        <v>1.14920103544507</v>
      </c>
      <c r="L14" s="24" t="n">
        <f aca="false">(G14)*(D3)</f>
        <v>0.229840207089014</v>
      </c>
    </row>
    <row r="15" customFormat="false" ht="15" hidden="false" customHeight="false" outlineLevel="0" collapsed="false">
      <c r="B15" s="13" t="s">
        <v>98</v>
      </c>
      <c r="C15" s="19" t="n">
        <v>10</v>
      </c>
      <c r="D15" s="23" t="n">
        <v>13</v>
      </c>
      <c r="E15" s="19" t="n">
        <f aca="false">14-7</f>
        <v>7</v>
      </c>
      <c r="F15" s="19" t="n">
        <v>2</v>
      </c>
      <c r="G15" s="19" t="n">
        <v>1</v>
      </c>
      <c r="H15" s="24" t="n">
        <f aca="false">(C15)*(D4)</f>
        <v>2.29840207089014</v>
      </c>
      <c r="I15" s="24" t="n">
        <f aca="false">(D15)*(D4)</f>
        <v>2.98792269215719</v>
      </c>
      <c r="J15" s="24" t="n">
        <f aca="false">(E15)*(D4)</f>
        <v>1.6088814496231</v>
      </c>
      <c r="K15" s="24" t="n">
        <f aca="false">(F15)*(D4)</f>
        <v>0.459680414178029</v>
      </c>
      <c r="L15" s="24" t="n">
        <f aca="false">(G15)*(D4)</f>
        <v>0.229840207089014</v>
      </c>
    </row>
    <row r="16" customFormat="false" ht="15" hidden="false" customHeight="false" outlineLevel="0" collapsed="false">
      <c r="B16" s="13" t="s">
        <v>99</v>
      </c>
      <c r="C16" s="19" t="n">
        <v>10</v>
      </c>
      <c r="D16" s="23" t="n">
        <v>12</v>
      </c>
      <c r="E16" s="19" t="n">
        <f aca="false">13-7</f>
        <v>6</v>
      </c>
      <c r="F16" s="19" t="n">
        <v>5</v>
      </c>
      <c r="G16" s="19" t="n">
        <v>1</v>
      </c>
      <c r="H16" s="24" t="n">
        <f aca="false">(C16)*(D5)</f>
        <v>2.70159792910986</v>
      </c>
      <c r="I16" s="24" t="n">
        <f aca="false">(D16)*(D5)</f>
        <v>3.24191751493183</v>
      </c>
      <c r="J16" s="24" t="n">
        <f aca="false">(E16)*(D5)</f>
        <v>1.62095875746591</v>
      </c>
      <c r="K16" s="24" t="n">
        <f aca="false">(F16)*(D5)</f>
        <v>1.35079896455493</v>
      </c>
      <c r="L16" s="24" t="n">
        <f aca="false">(G16)*(D5)</f>
        <v>0.270159792910986</v>
      </c>
    </row>
    <row r="17" customFormat="false" ht="15" hidden="false" customHeight="false" outlineLevel="0" collapsed="false">
      <c r="B17" s="13" t="s">
        <v>100</v>
      </c>
      <c r="C17" s="19" t="n">
        <v>9</v>
      </c>
      <c r="D17" s="23" t="n">
        <v>12</v>
      </c>
      <c r="E17" s="19" t="n">
        <f aca="false">13-7</f>
        <v>6</v>
      </c>
      <c r="F17" s="19" t="n">
        <v>3</v>
      </c>
      <c r="G17" s="19" t="n">
        <v>1</v>
      </c>
      <c r="H17" s="24" t="n">
        <f aca="false">(C17)*(D6)</f>
        <v>2.43143813619887</v>
      </c>
      <c r="I17" s="24" t="n">
        <f aca="false">(D17)*(D6)</f>
        <v>3.24191751493183</v>
      </c>
      <c r="J17" s="24" t="n">
        <f aca="false">(E17)*(D6)</f>
        <v>1.62095875746591</v>
      </c>
      <c r="K17" s="24" t="n">
        <f aca="false">(F17)*(D6)</f>
        <v>0.810479378732957</v>
      </c>
      <c r="L17" s="24" t="n">
        <f aca="false">(G17)*(D6)</f>
        <v>0.270159792910986</v>
      </c>
    </row>
    <row r="18" customFormat="false" ht="30" hidden="false" customHeight="false" outlineLevel="0" collapsed="false">
      <c r="B18" s="16" t="s">
        <v>101</v>
      </c>
      <c r="C18" s="13" t="n">
        <f aca="false">SUM(C14:C17)</f>
        <v>39</v>
      </c>
      <c r="D18" s="13" t="n">
        <f aca="false">SUM(F14:F17)</f>
        <v>15</v>
      </c>
      <c r="E18" s="13" t="n">
        <f aca="false">SUM(E14:E17)</f>
        <v>24</v>
      </c>
      <c r="F18" s="13" t="n">
        <f aca="false">SUM(D14:D17)</f>
        <v>49</v>
      </c>
      <c r="G18" s="13" t="n">
        <f aca="false">SUM(G14:G17)</f>
        <v>4</v>
      </c>
      <c r="H18" s="13" t="n">
        <f aca="false">SUM(H14:H17)</f>
        <v>9.72984020708901</v>
      </c>
      <c r="I18" s="13" t="n">
        <f aca="false">SUM(I14:I17)</f>
        <v>12.229840207089</v>
      </c>
      <c r="J18" s="13" t="n">
        <f aca="false">SUM(J14:J17)</f>
        <v>6</v>
      </c>
      <c r="K18" s="13" t="n">
        <f aca="false">SUM(K14:K17)</f>
        <v>3.77015979291099</v>
      </c>
      <c r="L18" s="13" t="n">
        <f aca="false">SUM(L14:L17)</f>
        <v>1</v>
      </c>
    </row>
    <row r="19" customFormat="false" ht="15" hidden="false" customHeight="false" outlineLevel="0" collapsed="false">
      <c r="C19" s="24"/>
      <c r="D19" s="24"/>
      <c r="E19" s="24"/>
      <c r="F19" s="24"/>
      <c r="G19" s="24" t="s">
        <v>79</v>
      </c>
      <c r="H19" s="24" t="n">
        <f aca="false">(H18)/($H$18)</f>
        <v>1</v>
      </c>
      <c r="I19" s="24" t="n">
        <f aca="false">(I18)/($H$18)</f>
        <v>1.25694152697169</v>
      </c>
      <c r="J19" s="24" t="n">
        <f aca="false">(J18)/($H$18)</f>
        <v>0.616659664732057</v>
      </c>
      <c r="K19" s="24" t="n">
        <f aca="false">(K18)/($H$18)</f>
        <v>0.387484245647128</v>
      </c>
      <c r="L19" s="24" t="n">
        <f aca="false">(L18)/($H$18)</f>
        <v>0.102776610788676</v>
      </c>
    </row>
    <row r="20" customFormat="false" ht="15" hidden="false" customHeight="false" outlineLevel="0" collapsed="false">
      <c r="B20" s="13"/>
      <c r="C20" s="19"/>
      <c r="D20" s="19"/>
      <c r="E20" s="19"/>
      <c r="F20" s="23"/>
      <c r="G20" s="19"/>
      <c r="H20" s="24"/>
      <c r="I20" s="24"/>
      <c r="J20" s="24"/>
      <c r="K20" s="24"/>
      <c r="L20" s="24"/>
    </row>
    <row r="21" customFormat="false" ht="15" hidden="false" customHeight="false" outlineLevel="0" collapsed="false">
      <c r="B21" s="13"/>
      <c r="C21" s="19"/>
      <c r="D21" s="19"/>
      <c r="E21" s="19"/>
      <c r="F21" s="23"/>
      <c r="G21" s="19"/>
      <c r="H21" s="24"/>
      <c r="I21" s="24"/>
      <c r="J21" s="24"/>
      <c r="K21" s="24"/>
      <c r="L21" s="24"/>
    </row>
    <row r="22" customFormat="false" ht="15" hidden="false" customHeight="false" outlineLevel="0" collapsed="false">
      <c r="B22" s="13"/>
      <c r="C22" s="19"/>
      <c r="D22" s="19"/>
      <c r="E22" s="19"/>
      <c r="F22" s="23"/>
      <c r="G22" s="19"/>
      <c r="H22" s="24"/>
      <c r="I22" s="24"/>
      <c r="J22" s="24"/>
      <c r="K22" s="24"/>
      <c r="L22" s="24"/>
    </row>
    <row r="23" customFormat="false" ht="15" hidden="false" customHeight="false" outlineLevel="0" collapsed="false">
      <c r="B23" s="13"/>
      <c r="C23" s="19"/>
      <c r="D23" s="19"/>
      <c r="E23" s="19"/>
      <c r="F23" s="23"/>
      <c r="G23" s="19"/>
      <c r="H23" s="24"/>
      <c r="I23" s="24"/>
      <c r="J23" s="24"/>
      <c r="K23" s="24"/>
      <c r="L23" s="24"/>
    </row>
    <row r="24" customFormat="false" ht="15" hidden="false" customHeight="false" outlineLevel="0" collapsed="false">
      <c r="B24" s="13"/>
      <c r="C24" s="19"/>
      <c r="D24" s="19"/>
      <c r="E24" s="19"/>
      <c r="H24" s="24"/>
      <c r="I24" s="24"/>
      <c r="J24" s="24"/>
      <c r="K24" s="24"/>
      <c r="L24" s="24"/>
    </row>
    <row r="25" customFormat="false" ht="15" hidden="false" customHeight="false" outlineLevel="0" collapsed="false">
      <c r="B25" s="13"/>
      <c r="C25" s="19"/>
      <c r="D25" s="19"/>
      <c r="E25" s="19"/>
      <c r="H25" s="24"/>
      <c r="I25" s="24"/>
      <c r="J25" s="24"/>
      <c r="K25" s="24"/>
      <c r="L25" s="24"/>
    </row>
    <row r="26" customFormat="false" ht="15" hidden="false" customHeight="false" outlineLevel="0" collapsed="false">
      <c r="B26" s="13"/>
      <c r="C26" s="19"/>
      <c r="D26" s="19"/>
      <c r="E26" s="19"/>
      <c r="H26" s="24"/>
      <c r="I26" s="24"/>
      <c r="J26" s="24"/>
      <c r="K26" s="24"/>
      <c r="L26" s="24"/>
    </row>
    <row r="27" customFormat="false" ht="15" hidden="false" customHeight="false" outlineLevel="0" collapsed="false">
      <c r="B27" s="13"/>
      <c r="C27" s="19"/>
      <c r="D27" s="19"/>
      <c r="E27" s="19"/>
      <c r="H27" s="24"/>
      <c r="I27" s="24"/>
      <c r="J27" s="24"/>
      <c r="K27" s="24"/>
      <c r="L27" s="24"/>
    </row>
    <row r="28" customFormat="false" ht="15" hidden="false" customHeight="false" outlineLevel="0" collapsed="false">
      <c r="B28" s="13"/>
      <c r="C28" s="19"/>
      <c r="D28" s="19"/>
      <c r="E28" s="19"/>
      <c r="F28" s="23"/>
      <c r="G28" s="19"/>
      <c r="H28" s="24"/>
      <c r="I28" s="24"/>
      <c r="J28" s="24"/>
      <c r="K28" s="24"/>
      <c r="L28" s="24"/>
    </row>
    <row r="29" customFormat="false" ht="15" hidden="false" customHeight="false" outlineLevel="0" collapsed="false">
      <c r="B29" s="13"/>
      <c r="C29" s="19"/>
      <c r="D29" s="19"/>
      <c r="E29" s="19"/>
      <c r="F29" s="23"/>
      <c r="G29" s="19"/>
      <c r="H29" s="24"/>
      <c r="I29" s="24"/>
      <c r="J29" s="24"/>
      <c r="K29" s="24"/>
      <c r="L29" s="24"/>
    </row>
    <row r="30" customFormat="false" ht="15" hidden="false" customHeight="false" outlineLevel="0" collapsed="false">
      <c r="B30" s="13"/>
      <c r="C30" s="19"/>
      <c r="D30" s="19"/>
      <c r="E30" s="19"/>
      <c r="F30" s="23"/>
      <c r="G30" s="19"/>
      <c r="H30" s="24"/>
      <c r="I30" s="24"/>
      <c r="J30" s="24"/>
      <c r="K30" s="24"/>
      <c r="L30" s="24"/>
    </row>
    <row r="31" customFormat="false" ht="15" hidden="false" customHeight="false" outlineLevel="0" collapsed="false">
      <c r="B31" s="13"/>
      <c r="C31" s="19"/>
      <c r="D31" s="19"/>
      <c r="E31" s="19"/>
      <c r="F31" s="23"/>
      <c r="G31" s="19"/>
      <c r="H31" s="24"/>
      <c r="I31" s="24"/>
      <c r="J31" s="24"/>
      <c r="K31" s="24"/>
      <c r="L31" s="24"/>
    </row>
    <row r="32" customFormat="false" ht="15" hidden="false" customHeight="false" outlineLevel="0" collapsed="false">
      <c r="B32" s="13"/>
      <c r="C32" s="19"/>
      <c r="D32" s="19"/>
      <c r="E32" s="19"/>
      <c r="F32" s="23"/>
      <c r="G32" s="19"/>
      <c r="H32" s="24"/>
      <c r="I32" s="24"/>
      <c r="J32" s="24"/>
      <c r="K32" s="24"/>
      <c r="L32" s="24"/>
    </row>
    <row r="33" customFormat="false" ht="15" hidden="false" customHeight="false" outlineLevel="0" collapsed="false">
      <c r="B33" s="13"/>
      <c r="C33" s="19"/>
      <c r="D33" s="19"/>
      <c r="E33" s="19"/>
      <c r="F33" s="23"/>
      <c r="G33" s="19"/>
      <c r="H33" s="24"/>
      <c r="I33" s="24"/>
      <c r="J33" s="24"/>
      <c r="K33" s="24"/>
      <c r="L33" s="24"/>
    </row>
    <row r="36" customFormat="false" ht="15" hidden="false" customHeight="false" outlineLevel="0" collapsed="false">
      <c r="C36" s="29"/>
      <c r="D36" s="29"/>
      <c r="E36" s="29"/>
      <c r="F36" s="29"/>
      <c r="G36" s="29"/>
      <c r="H36" s="29"/>
      <c r="I36" s="29"/>
      <c r="J36" s="29"/>
    </row>
    <row r="37" customFormat="false" ht="15" hidden="false" customHeight="false" outlineLevel="0" collapsed="false">
      <c r="C37" s="29"/>
      <c r="D37" s="29"/>
      <c r="E37" s="29"/>
      <c r="F37" s="29"/>
      <c r="G37" s="29"/>
      <c r="H37" s="29"/>
      <c r="I37" s="29"/>
      <c r="J37" s="29"/>
    </row>
    <row r="38" customFormat="false" ht="15" hidden="false" customHeight="false" outlineLevel="0" collapsed="false">
      <c r="C38" s="29"/>
      <c r="D38" s="29"/>
      <c r="E38" s="29"/>
      <c r="F38" s="29"/>
      <c r="G38" s="29"/>
      <c r="H38" s="29"/>
      <c r="I38" s="29"/>
      <c r="J38" s="29"/>
    </row>
    <row r="39" customFormat="false" ht="15" hidden="false" customHeight="false" outlineLevel="0" collapsed="false">
      <c r="C39" s="29"/>
      <c r="D39" s="29"/>
      <c r="E39" s="29"/>
      <c r="F39" s="29"/>
      <c r="G39" s="29"/>
      <c r="H39" s="29"/>
      <c r="I39" s="29"/>
      <c r="J39" s="29"/>
    </row>
    <row r="40" customFormat="false" ht="15" hidden="false" customHeight="false" outlineLevel="0" collapsed="false">
      <c r="C40" s="29"/>
      <c r="D40" s="29"/>
      <c r="E40" s="29"/>
      <c r="F40" s="29"/>
      <c r="G40" s="29"/>
      <c r="H40" s="29"/>
      <c r="I40" s="29"/>
      <c r="J40" s="29"/>
    </row>
    <row r="41" customFormat="false" ht="15" hidden="false" customHeight="false" outlineLevel="0" collapsed="false">
      <c r="C41" s="29"/>
      <c r="D41" s="29"/>
      <c r="E41" s="29"/>
      <c r="F41" s="29"/>
      <c r="G41" s="29"/>
      <c r="H41" s="29"/>
      <c r="I41" s="29"/>
      <c r="J41" s="29"/>
    </row>
    <row r="42" customFormat="false" ht="15" hidden="false" customHeight="false" outlineLevel="0" collapsed="false">
      <c r="C42" s="29"/>
      <c r="D42" s="29"/>
      <c r="E42" s="29"/>
      <c r="F42" s="29"/>
      <c r="G42" s="29"/>
      <c r="H42" s="29"/>
      <c r="I42" s="29"/>
      <c r="J42" s="29"/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J5" activeCellId="1" sqref="G45:J45 J5"/>
    </sheetView>
  </sheetViews>
  <sheetFormatPr defaultColWidth="10.5390625" defaultRowHeight="15" zeroHeight="false" outlineLevelRow="0" outlineLevelCol="0"/>
  <cols>
    <col collapsed="false" customWidth="true" hidden="false" outlineLevel="0" max="1" min="1" style="0" width="22.43"/>
    <col collapsed="false" customWidth="true" hidden="false" outlineLevel="0" max="3" min="3" style="0" width="17.28"/>
    <col collapsed="false" customWidth="true" hidden="false" outlineLevel="0" max="4" min="4" style="0" width="17.71"/>
    <col collapsed="false" customWidth="true" hidden="false" outlineLevel="0" max="5" min="5" style="0" width="26.29"/>
    <col collapsed="false" customWidth="true" hidden="false" outlineLevel="0" max="6" min="6" style="0" width="33.14"/>
    <col collapsed="false" customWidth="true" hidden="false" outlineLevel="0" max="7" min="7" style="0" width="31.57"/>
    <col collapsed="false" customWidth="true" hidden="false" outlineLevel="0" max="8" min="8" style="0" width="16.71"/>
    <col collapsed="false" customWidth="true" hidden="false" outlineLevel="0" max="12" min="12" style="0" width="21.85"/>
  </cols>
  <sheetData>
    <row r="1" customFormat="false" ht="60" hidden="false" customHeight="false" outlineLevel="0" collapsed="false">
      <c r="A1" s="25" t="s">
        <v>0</v>
      </c>
      <c r="B1" s="2" t="s">
        <v>102</v>
      </c>
      <c r="C1" s="2"/>
      <c r="D1" s="3" t="n">
        <f aca="false">(19667013-22900)</f>
        <v>19644113</v>
      </c>
    </row>
    <row r="2" customFormat="false" ht="62.25" hidden="false" customHeight="true" outlineLevel="0" collapsed="false">
      <c r="A2" s="26" t="s">
        <v>81</v>
      </c>
      <c r="B2" s="7" t="s">
        <v>82</v>
      </c>
      <c r="C2" s="27" t="s">
        <v>9</v>
      </c>
      <c r="D2" s="9" t="s">
        <v>10</v>
      </c>
      <c r="E2" s="10" t="s">
        <v>11</v>
      </c>
      <c r="F2" s="11" t="s">
        <v>83</v>
      </c>
      <c r="G2" s="9" t="s">
        <v>103</v>
      </c>
      <c r="H2" s="12" t="s">
        <v>104</v>
      </c>
      <c r="I2" s="13" t="s">
        <v>105</v>
      </c>
      <c r="J2" s="13" t="s">
        <v>106</v>
      </c>
      <c r="L2" s="19" t="s">
        <v>88</v>
      </c>
      <c r="M2" s="28" t="n">
        <v>0.30696051374299</v>
      </c>
    </row>
    <row r="3" customFormat="false" ht="15" hidden="false" customHeight="false" outlineLevel="0" collapsed="false">
      <c r="A3" s="0" t="s">
        <v>107</v>
      </c>
      <c r="B3" s="0" t="s">
        <v>19</v>
      </c>
      <c r="C3" s="29" t="n">
        <f aca="false">9030014/2</f>
        <v>4515007</v>
      </c>
      <c r="D3" s="29" t="n">
        <f aca="false">(C3)/($D$1)</f>
        <v>0.229840207089014</v>
      </c>
      <c r="E3" s="30" t="n">
        <v>507.18</v>
      </c>
      <c r="F3" s="29" t="n">
        <f aca="false">(E3)-173.943</f>
        <v>333.237</v>
      </c>
      <c r="G3" s="32" t="n">
        <f aca="false">(D3)*(F3)</f>
        <v>76.5912610897219</v>
      </c>
      <c r="H3" s="29" t="n">
        <f aca="false">(G3)*1/($G$7)</f>
        <v>0.235104928523245</v>
      </c>
      <c r="I3" s="31" t="n">
        <f aca="false">((H3)*('Elemental Equation'!$E$4)*1000)/(F3)</f>
        <v>0.0705518680468392</v>
      </c>
      <c r="J3" s="0" t="n">
        <f aca="false">((H3)*('Elemental Equation'!$E$4))</f>
        <v>0.0235104928523246</v>
      </c>
      <c r="L3" s="13" t="s">
        <v>20</v>
      </c>
      <c r="M3" s="13" t="n">
        <f aca="false">'Elemental Equation'!B4</f>
        <v>0.1</v>
      </c>
    </row>
    <row r="4" customFormat="false" ht="15" hidden="false" customHeight="false" outlineLevel="0" collapsed="false">
      <c r="A4" s="0" t="s">
        <v>108</v>
      </c>
      <c r="B4" s="0" t="s">
        <v>109</v>
      </c>
      <c r="C4" s="29" t="n">
        <f aca="false">9030014/2</f>
        <v>4515007</v>
      </c>
      <c r="D4" s="29" t="n">
        <f aca="false">(C4)/($D$1)</f>
        <v>0.229840207089014</v>
      </c>
      <c r="E4" s="30" t="n">
        <v>484.14</v>
      </c>
      <c r="F4" s="29" t="n">
        <f aca="false">(E4)-173.943</f>
        <v>310.197</v>
      </c>
      <c r="G4" s="32" t="n">
        <f aca="false">(D4)*(F4)</f>
        <v>71.295742718391</v>
      </c>
      <c r="H4" s="29" t="n">
        <f aca="false">(G4)*1/($G$7)</f>
        <v>0.218849778125254</v>
      </c>
      <c r="I4" s="31" t="n">
        <f aca="false">((H4)*('Elemental Equation'!$E$4)*1000)/(F4)</f>
        <v>0.0705518680468392</v>
      </c>
      <c r="J4" s="0" t="n">
        <f aca="false">((H4)*('Elemental Equation'!$E$4))</f>
        <v>0.0218849778125254</v>
      </c>
      <c r="L4" s="13" t="s">
        <v>23</v>
      </c>
      <c r="M4" s="33" t="n">
        <v>0.406</v>
      </c>
    </row>
    <row r="5" customFormat="false" ht="15" hidden="false" customHeight="false" outlineLevel="0" collapsed="false">
      <c r="A5" s="34" t="s">
        <v>110</v>
      </c>
      <c r="B5" s="0" t="s">
        <v>40</v>
      </c>
      <c r="C5" s="20" t="n">
        <f aca="false">10614099/2</f>
        <v>5307049.5</v>
      </c>
      <c r="D5" s="29" t="n">
        <f aca="false">(C5)/($D$1)</f>
        <v>0.270159792910986</v>
      </c>
      <c r="E5" s="30" t="n">
        <v>523.18</v>
      </c>
      <c r="F5" s="29" t="n">
        <f aca="false">(E5)-173.943</f>
        <v>349.237</v>
      </c>
      <c r="G5" s="32" t="n">
        <f aca="false">(D5)*(F5)</f>
        <v>94.3497955968539</v>
      </c>
      <c r="H5" s="29" t="n">
        <f aca="false">(G5)*1/($G$7)</f>
        <v>0.289616617279564</v>
      </c>
      <c r="I5" s="31" t="n">
        <f aca="false">((H5)*('Elemental Equation'!$E$4)*1000)/(F5)</f>
        <v>0.0829283888246561</v>
      </c>
      <c r="J5" s="0" t="n">
        <f aca="false">((H5)*('Elemental Equation'!$E$4))</f>
        <v>0.0289616617279564</v>
      </c>
      <c r="L5" s="13" t="s">
        <v>26</v>
      </c>
      <c r="M5" s="13" t="n">
        <f aca="false">((M2)*(M4))</f>
        <v>0.124625968579654</v>
      </c>
    </row>
    <row r="6" customFormat="false" ht="15" hidden="false" customHeight="false" outlineLevel="0" collapsed="false">
      <c r="A6" s="34" t="s">
        <v>111</v>
      </c>
      <c r="B6" s="0" t="s">
        <v>31</v>
      </c>
      <c r="C6" s="20" t="n">
        <f aca="false">10614099/2</f>
        <v>5307049.5</v>
      </c>
      <c r="D6" s="29" t="n">
        <f aca="false">(C6)/($D$1)</f>
        <v>0.270159792910986</v>
      </c>
      <c r="E6" s="30" t="n">
        <v>483.16</v>
      </c>
      <c r="F6" s="29" t="n">
        <f aca="false">(E6)-173.943</f>
        <v>309.217</v>
      </c>
      <c r="G6" s="32" t="n">
        <f aca="false">(D6)*(F6)</f>
        <v>83.5380006845562</v>
      </c>
      <c r="H6" s="29" t="n">
        <f aca="false">(G6)*1/($G$7)</f>
        <v>0.256428676071937</v>
      </c>
      <c r="I6" s="31" t="n">
        <f aca="false">((H6)*('Elemental Equation'!$E$4)*1000)/(F6)</f>
        <v>0.082928388824656</v>
      </c>
      <c r="J6" s="0" t="n">
        <f aca="false">((H6)*('Elemental Equation'!$E$4))</f>
        <v>0.0256428676071937</v>
      </c>
    </row>
    <row r="7" customFormat="false" ht="30" hidden="false" customHeight="false" outlineLevel="0" collapsed="false">
      <c r="C7" s="29"/>
      <c r="D7" s="29"/>
      <c r="E7" s="29"/>
      <c r="F7" s="19" t="s">
        <v>112</v>
      </c>
      <c r="G7" s="13" t="n">
        <f aca="false">SUM(G3:G6)</f>
        <v>325.774800089523</v>
      </c>
      <c r="H7" s="31" t="n">
        <f aca="false">SUM(H3:H6)</f>
        <v>1</v>
      </c>
      <c r="I7" s="31" t="n">
        <f aca="false">SUM(I3:I6)</f>
        <v>0.30696051374299</v>
      </c>
    </row>
    <row r="9" customFormat="false" ht="45" hidden="false" customHeight="false" outlineLevel="0" collapsed="false">
      <c r="B9" s="16" t="s">
        <v>68</v>
      </c>
      <c r="C9" s="16" t="s">
        <v>69</v>
      </c>
      <c r="D9" s="16" t="s">
        <v>70</v>
      </c>
      <c r="E9" s="16" t="s">
        <v>71</v>
      </c>
      <c r="F9" s="16" t="s">
        <v>113</v>
      </c>
      <c r="G9" s="16" t="s">
        <v>73</v>
      </c>
      <c r="H9" s="16" t="s">
        <v>74</v>
      </c>
      <c r="I9" s="16" t="s">
        <v>75</v>
      </c>
      <c r="J9" s="16" t="s">
        <v>76</v>
      </c>
      <c r="K9" s="16" t="s">
        <v>96</v>
      </c>
    </row>
    <row r="10" customFormat="false" ht="15" hidden="false" customHeight="false" outlineLevel="0" collapsed="false">
      <c r="A10" s="13" t="s">
        <v>114</v>
      </c>
      <c r="B10" s="0" t="n">
        <v>10</v>
      </c>
      <c r="C10" s="0" t="n">
        <v>12</v>
      </c>
      <c r="D10" s="0" t="n">
        <v>7</v>
      </c>
      <c r="E10" s="0" t="n">
        <v>5</v>
      </c>
      <c r="F10" s="0" t="n">
        <v>1</v>
      </c>
      <c r="G10" s="24" t="n">
        <f aca="false">(B10)*(D3)</f>
        <v>2.29840207089014</v>
      </c>
      <c r="H10" s="24" t="n">
        <f aca="false">(C10)*(D3)</f>
        <v>2.75808248506817</v>
      </c>
      <c r="I10" s="24" t="n">
        <f aca="false">(D10)*(D3)</f>
        <v>1.6088814496231</v>
      </c>
      <c r="J10" s="24" t="n">
        <f aca="false">(E10)*(D3)</f>
        <v>1.14920103544507</v>
      </c>
      <c r="K10" s="24" t="n">
        <f aca="false">(F10)*(D3)</f>
        <v>0.229840207089014</v>
      </c>
    </row>
    <row r="11" customFormat="false" ht="15" hidden="false" customHeight="false" outlineLevel="0" collapsed="false">
      <c r="A11" s="13" t="s">
        <v>115</v>
      </c>
      <c r="B11" s="0" t="n">
        <v>9</v>
      </c>
      <c r="C11" s="0" t="n">
        <v>11</v>
      </c>
      <c r="D11" s="0" t="n">
        <v>9</v>
      </c>
      <c r="E11" s="0" t="n">
        <v>2</v>
      </c>
      <c r="F11" s="0" t="n">
        <v>1</v>
      </c>
      <c r="G11" s="24" t="n">
        <f aca="false">(B11)*(D4)</f>
        <v>2.06856186380113</v>
      </c>
      <c r="H11" s="24" t="n">
        <f aca="false">(C11)*(D4)</f>
        <v>2.52824227797916</v>
      </c>
      <c r="I11" s="24" t="n">
        <f aca="false">(D11)*(D4)</f>
        <v>2.06856186380113</v>
      </c>
      <c r="J11" s="24" t="n">
        <f aca="false">(E11)*(D4)</f>
        <v>0.459680414178029</v>
      </c>
      <c r="K11" s="24" t="n">
        <f aca="false">(F11)*(D4)</f>
        <v>0.229840207089014</v>
      </c>
    </row>
    <row r="12" customFormat="false" ht="15" hidden="false" customHeight="false" outlineLevel="0" collapsed="false">
      <c r="A12" s="13" t="s">
        <v>116</v>
      </c>
      <c r="B12" s="0" t="n">
        <v>10</v>
      </c>
      <c r="C12" s="0" t="n">
        <v>12</v>
      </c>
      <c r="D12" s="0" t="n">
        <v>8</v>
      </c>
      <c r="E12" s="0" t="n">
        <v>5</v>
      </c>
      <c r="F12" s="0" t="n">
        <v>1</v>
      </c>
      <c r="G12" s="24" t="n">
        <f aca="false">(B12)*(D5)</f>
        <v>2.70159792910986</v>
      </c>
      <c r="H12" s="24" t="n">
        <f aca="false">(C12)*(D5)</f>
        <v>3.24191751493183</v>
      </c>
      <c r="I12" s="24" t="n">
        <f aca="false">(D12)*(D5)</f>
        <v>2.16127834328788</v>
      </c>
      <c r="J12" s="24" t="n">
        <f aca="false">(E12)*(D5)</f>
        <v>1.35079896455493</v>
      </c>
      <c r="K12" s="24" t="n">
        <f aca="false">(F12)*(D5)</f>
        <v>0.270159792910986</v>
      </c>
    </row>
    <row r="13" customFormat="false" ht="15" hidden="false" customHeight="false" outlineLevel="0" collapsed="false">
      <c r="A13" s="13" t="s">
        <v>117</v>
      </c>
      <c r="B13" s="0" t="n">
        <v>9</v>
      </c>
      <c r="C13" s="0" t="n">
        <v>12</v>
      </c>
      <c r="D13" s="0" t="n">
        <v>8</v>
      </c>
      <c r="E13" s="0" t="n">
        <v>3</v>
      </c>
      <c r="F13" s="0" t="n">
        <v>1</v>
      </c>
      <c r="G13" s="24" t="n">
        <f aca="false">(B13)*(D6)</f>
        <v>2.43143813619887</v>
      </c>
      <c r="H13" s="24" t="n">
        <f aca="false">(C13)*(D6)</f>
        <v>3.24191751493183</v>
      </c>
      <c r="I13" s="24" t="n">
        <f aca="false">(D13)*(D6)</f>
        <v>2.16127834328788</v>
      </c>
      <c r="J13" s="24" t="n">
        <f aca="false">(E13)*(D6)</f>
        <v>0.810479378732957</v>
      </c>
      <c r="K13" s="24" t="n">
        <f aca="false">(F13)*(D6)</f>
        <v>0.270159792910986</v>
      </c>
    </row>
    <row r="14" customFormat="false" ht="45" hidden="false" customHeight="false" outlineLevel="0" collapsed="false">
      <c r="A14" s="16" t="s">
        <v>101</v>
      </c>
      <c r="B14" s="13" t="n">
        <f aca="false">SUM(B10:B13)</f>
        <v>38</v>
      </c>
      <c r="C14" s="13" t="n">
        <f aca="false">SUM(C10:C13)</f>
        <v>47</v>
      </c>
      <c r="D14" s="13" t="n">
        <f aca="false">SUM(D10:D13)</f>
        <v>32</v>
      </c>
      <c r="E14" s="13" t="n">
        <f aca="false">SUM(E10:E13)</f>
        <v>15</v>
      </c>
      <c r="F14" s="13" t="n">
        <f aca="false">SUM(F10:F13)</f>
        <v>4</v>
      </c>
      <c r="G14" s="13" t="n">
        <f aca="false">SUM(G10:G13)</f>
        <v>9.5</v>
      </c>
      <c r="H14" s="13" t="n">
        <f aca="false">SUM(H10:H13)</f>
        <v>11.770159792911</v>
      </c>
      <c r="I14" s="13" t="n">
        <f aca="false">SUM(I10:I13)</f>
        <v>8</v>
      </c>
      <c r="J14" s="13" t="n">
        <f aca="false">SUM(J10:J13)</f>
        <v>3.77015979291099</v>
      </c>
      <c r="K14" s="13" t="n">
        <f aca="false">SUM(K10:K13)</f>
        <v>1</v>
      </c>
    </row>
    <row r="15" customFormat="false" ht="15" hidden="false" customHeight="false" outlineLevel="0" collapsed="false">
      <c r="B15" s="24"/>
      <c r="C15" s="24"/>
      <c r="D15" s="24"/>
      <c r="E15" s="24"/>
      <c r="F15" s="24" t="s">
        <v>79</v>
      </c>
      <c r="G15" s="24" t="n">
        <f aca="false">(G14)/($G$14)</f>
        <v>1</v>
      </c>
      <c r="H15" s="24" t="n">
        <f aca="false">(H14)/($G$14)</f>
        <v>1.23896418872747</v>
      </c>
      <c r="I15" s="24" t="n">
        <f aca="false">(I14)/($G$14)</f>
        <v>0.842105263157895</v>
      </c>
      <c r="J15" s="24" t="n">
        <f aca="false">(J14)/($G$14)</f>
        <v>0.396858925569577</v>
      </c>
      <c r="K15" s="24" t="n">
        <f aca="false">(K14)/($G$14)</f>
        <v>0.105263157894737</v>
      </c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88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N19" activeCellId="1" sqref="G45:J45 N19"/>
    </sheetView>
  </sheetViews>
  <sheetFormatPr defaultColWidth="10.5390625" defaultRowHeight="15" zeroHeight="false" outlineLevelRow="0" outlineLevelCol="0"/>
  <cols>
    <col collapsed="false" customWidth="true" hidden="false" outlineLevel="0" max="1" min="1" style="0" width="27.72"/>
    <col collapsed="false" customWidth="true" hidden="false" outlineLevel="0" max="2" min="2" style="0" width="14.85"/>
    <col collapsed="false" customWidth="true" hidden="false" outlineLevel="0" max="3" min="3" style="0" width="34.43"/>
    <col collapsed="false" customWidth="true" hidden="false" outlineLevel="0" max="4" min="4" style="0" width="16.85"/>
    <col collapsed="false" customWidth="true" hidden="false" outlineLevel="0" max="5" min="5" style="0" width="32.14"/>
    <col collapsed="false" customWidth="true" hidden="false" outlineLevel="0" max="6" min="6" style="0" width="19.85"/>
    <col collapsed="false" customWidth="true" hidden="false" outlineLevel="0" max="7" min="7" style="0" width="24.28"/>
    <col collapsed="false" customWidth="true" hidden="false" outlineLevel="0" max="8" min="8" style="0" width="23.43"/>
    <col collapsed="false" customWidth="true" hidden="false" outlineLevel="0" max="9" min="9" style="0" width="20"/>
    <col collapsed="false" customWidth="true" hidden="false" outlineLevel="0" max="10" min="10" style="0" width="29.86"/>
    <col collapsed="false" customWidth="true" hidden="false" outlineLevel="0" max="11" min="11" style="0" width="22.85"/>
  </cols>
  <sheetData>
    <row r="1" customFormat="false" ht="75" hidden="false" customHeight="true" outlineLevel="0" collapsed="false">
      <c r="A1" s="35" t="s">
        <v>118</v>
      </c>
      <c r="B1" s="36" t="s">
        <v>119</v>
      </c>
      <c r="C1" s="36"/>
      <c r="D1" s="37" t="n">
        <f aca="false">SUM(C3:C7)</f>
        <v>546.8</v>
      </c>
    </row>
    <row r="2" customFormat="false" ht="76.5" hidden="false" customHeight="true" outlineLevel="0" collapsed="false">
      <c r="A2" s="35" t="s">
        <v>120</v>
      </c>
      <c r="B2" s="7" t="s">
        <v>121</v>
      </c>
      <c r="C2" s="38" t="s">
        <v>122</v>
      </c>
      <c r="D2" s="9" t="s">
        <v>123</v>
      </c>
      <c r="E2" s="7" t="s">
        <v>124</v>
      </c>
      <c r="F2" s="11" t="s">
        <v>125</v>
      </c>
      <c r="G2" s="9" t="s">
        <v>126</v>
      </c>
      <c r="H2" s="9" t="s">
        <v>127</v>
      </c>
      <c r="I2" s="12" t="s">
        <v>128</v>
      </c>
      <c r="J2" s="13" t="s">
        <v>129</v>
      </c>
      <c r="K2" s="39" t="s">
        <v>130</v>
      </c>
    </row>
    <row r="3" customFormat="false" ht="49.5" hidden="false" customHeight="true" outlineLevel="0" collapsed="false">
      <c r="A3" s="0" t="s">
        <v>131</v>
      </c>
      <c r="B3" s="13" t="s">
        <v>132</v>
      </c>
      <c r="C3" s="21" t="n">
        <v>125.3</v>
      </c>
      <c r="D3" s="21" t="n">
        <f aca="false">(C3)/($D$1)</f>
        <v>0.229151426481346</v>
      </c>
      <c r="E3" s="30" t="n">
        <f aca="false">269.147  +2*(H59)</f>
        <v>802.214531090724</v>
      </c>
      <c r="F3" s="21" t="n">
        <v>125.3</v>
      </c>
      <c r="G3" s="13" t="n">
        <f aca="false">(F3)/($F$10)</f>
        <v>0.300479616306954</v>
      </c>
      <c r="H3" s="13" t="n">
        <f aca="false">(E3)* (G3)</f>
        <v>241.049114498004</v>
      </c>
      <c r="I3" s="32" t="n">
        <f aca="false">(H3)*1/($H$10)</f>
        <v>0.412664099536134</v>
      </c>
      <c r="J3" s="31" t="n">
        <f aca="false">((I3)*('Elemental Equation'!$E$5)*1000)/(E3)</f>
        <v>0.206328312326749</v>
      </c>
      <c r="K3" s="0" t="n">
        <f aca="false">(I3)*('Elemental Equation'!$E$5)</f>
        <v>0.165519570323943</v>
      </c>
    </row>
    <row r="4" customFormat="false" ht="49.5" hidden="false" customHeight="true" outlineLevel="0" collapsed="false">
      <c r="A4" s="0" t="s">
        <v>133</v>
      </c>
      <c r="B4" s="13" t="s">
        <v>134</v>
      </c>
      <c r="C4" s="21" t="n">
        <v>79.1</v>
      </c>
      <c r="D4" s="21" t="n">
        <f aca="false">(C4)/($D$1)</f>
        <v>0.144659839063643</v>
      </c>
      <c r="E4" s="30" t="n">
        <f aca="false">311.228+ 2*(H59)</f>
        <v>844.295531090724</v>
      </c>
      <c r="F4" s="21" t="n">
        <v>79.1</v>
      </c>
      <c r="G4" s="13" t="n">
        <f aca="false">(F4)/($F$10)</f>
        <v>0.18968824940048</v>
      </c>
      <c r="H4" s="13" t="n">
        <f aca="false">(E4)* (G4)</f>
        <v>160.152941269248</v>
      </c>
      <c r="I4" s="32" t="n">
        <f aca="false">(H4)*1/($H$10)</f>
        <v>0.274173872965978</v>
      </c>
      <c r="J4" s="31" t="n">
        <f aca="false">((I4)*('Elemental Equation'!$E$5)*1000)/(E4)</f>
        <v>0.13025195135711</v>
      </c>
      <c r="K4" s="0" t="n">
        <f aca="false">(I4)*('Elemental Equation'!$E$5)</f>
        <v>0.109971140446654</v>
      </c>
    </row>
    <row r="5" customFormat="false" ht="15" hidden="false" customHeight="false" outlineLevel="0" collapsed="false">
      <c r="B5" s="13" t="s">
        <v>135</v>
      </c>
      <c r="C5" s="19" t="n">
        <v>146.6</v>
      </c>
      <c r="D5" s="21" t="n">
        <f aca="false">(C5)/($D$1)</f>
        <v>0.268105340160936</v>
      </c>
      <c r="E5" s="30" t="n">
        <f aca="false">(H27)</f>
        <v>396.65</v>
      </c>
      <c r="F5" s="19" t="n">
        <v>146.6</v>
      </c>
      <c r="G5" s="13" t="n">
        <f aca="false">(F5)/($F$10)</f>
        <v>0.351558752997602</v>
      </c>
      <c r="H5" s="13" t="n">
        <f aca="false">(E5)* (G5)</f>
        <v>139.445779376499</v>
      </c>
      <c r="I5" s="32" t="n">
        <f aca="false">(H5)*1/($H$10)</f>
        <v>0.238724241324661</v>
      </c>
      <c r="J5" s="31" t="n">
        <f aca="false">((I5)*('Elemental Equation'!$E$5)*1000)/(E5)</f>
        <v>0.241402478747816</v>
      </c>
      <c r="K5" s="0" t="n">
        <f aca="false">(I5)*('Elemental Equation'!$E$5)</f>
        <v>0.0957522931953213</v>
      </c>
    </row>
    <row r="6" customFormat="false" ht="15" hidden="false" customHeight="false" outlineLevel="0" collapsed="false">
      <c r="B6" s="13" t="s">
        <v>136</v>
      </c>
      <c r="C6" s="21" t="n">
        <f aca="false">334.2 -(C3)-(C4)</f>
        <v>129.8</v>
      </c>
      <c r="D6" s="21" t="n">
        <f aca="false">(C6)/($D$1)</f>
        <v>0.237381126554499</v>
      </c>
      <c r="E6" s="21" t="n">
        <f aca="false">(H59)</f>
        <v>266.533765545362</v>
      </c>
      <c r="F6" s="21" t="n">
        <v>0</v>
      </c>
      <c r="G6" s="13" t="n">
        <f aca="false">(F6)/($F$10)</f>
        <v>0</v>
      </c>
      <c r="H6" s="13" t="n">
        <f aca="false">(E6)* (G6)</f>
        <v>0</v>
      </c>
      <c r="I6" s="32" t="n">
        <f aca="false">(H6)*1/($H$10)</f>
        <v>0</v>
      </c>
      <c r="J6" s="31"/>
      <c r="K6" s="0" t="n">
        <f aca="false">(I6)*('Elemental Equation'!$E$5)</f>
        <v>0</v>
      </c>
    </row>
    <row r="7" customFormat="false" ht="15" hidden="false" customHeight="false" outlineLevel="0" collapsed="false">
      <c r="B7" s="13" t="s">
        <v>137</v>
      </c>
      <c r="C7" s="13" t="n">
        <v>66</v>
      </c>
      <c r="D7" s="21" t="n">
        <f aca="false">(C7)/($D$1)</f>
        <v>0.120702267739576</v>
      </c>
      <c r="E7" s="21" t="n">
        <f aca="false">(H44)</f>
        <v>274.722620239391</v>
      </c>
      <c r="F7" s="13" t="n">
        <v>66</v>
      </c>
      <c r="G7" s="13" t="n">
        <f aca="false">(F7)/($F$10)</f>
        <v>0.158273381294964</v>
      </c>
      <c r="H7" s="13" t="n">
        <f aca="false">(E7)* (G7)</f>
        <v>43.4812780235007</v>
      </c>
      <c r="I7" s="32" t="n">
        <f aca="false">(H7)*1/($H$10)</f>
        <v>0.0744377861732272</v>
      </c>
      <c r="J7" s="31" t="n">
        <f aca="false">((I7)*('Elemental Equation'!$E$5)*1000)/(E7)</f>
        <v>0.108680515670913</v>
      </c>
      <c r="K7" s="0" t="n">
        <f aca="false">(I7)*('Elemental Equation'!$E$5)</f>
        <v>0.0298569960340814</v>
      </c>
    </row>
    <row r="8" customFormat="false" ht="15" hidden="false" customHeight="false" outlineLevel="0" collapsed="false">
      <c r="C8" s="19"/>
      <c r="D8" s="21"/>
      <c r="E8" s="30"/>
      <c r="F8" s="19"/>
      <c r="G8" s="13"/>
      <c r="H8" s="21"/>
      <c r="I8" s="13"/>
    </row>
    <row r="9" customFormat="false" ht="15" hidden="false" customHeight="false" outlineLevel="0" collapsed="false">
      <c r="B9" s="13"/>
      <c r="C9" s="21"/>
      <c r="D9" s="21"/>
      <c r="E9" s="21"/>
      <c r="F9" s="21"/>
      <c r="G9" s="13"/>
      <c r="H9" s="21"/>
      <c r="I9" s="13"/>
    </row>
    <row r="10" customFormat="false" ht="46.5" hidden="false" customHeight="true" outlineLevel="0" collapsed="false">
      <c r="B10" s="13"/>
      <c r="C10" s="21"/>
      <c r="D10" s="13"/>
      <c r="E10" s="13" t="s">
        <v>138</v>
      </c>
      <c r="F10" s="21" t="n">
        <f aca="false">SUM(F3:F9)</f>
        <v>417</v>
      </c>
      <c r="G10" s="19" t="s">
        <v>139</v>
      </c>
      <c r="H10" s="13" t="n">
        <f aca="false">SUM(H3:H9)</f>
        <v>584.129113167251</v>
      </c>
      <c r="I10" s="32" t="n">
        <f aca="false">SUM(I3:I7)</f>
        <v>1</v>
      </c>
      <c r="J10" s="40" t="n">
        <f aca="false">SUM(J3:J7)</f>
        <v>0.686663258102588</v>
      </c>
      <c r="K10" s="40" t="n">
        <f aca="false">SUM(K3:K7)</f>
        <v>0.4011</v>
      </c>
    </row>
    <row r="15" customFormat="false" ht="75" hidden="false" customHeight="false" outlineLevel="0" collapsed="false">
      <c r="A15" s="35" t="s">
        <v>140</v>
      </c>
      <c r="B15" s="7" t="s">
        <v>141</v>
      </c>
      <c r="C15" s="38" t="s">
        <v>122</v>
      </c>
      <c r="D15" s="9" t="s">
        <v>142</v>
      </c>
      <c r="E15" s="7" t="s">
        <v>11</v>
      </c>
      <c r="F15" s="11" t="s">
        <v>143</v>
      </c>
      <c r="G15" s="9" t="s">
        <v>144</v>
      </c>
      <c r="H15" s="9" t="s">
        <v>145</v>
      </c>
      <c r="I15" s="12" t="s">
        <v>146</v>
      </c>
      <c r="J15" s="41" t="s">
        <v>147</v>
      </c>
    </row>
    <row r="16" customFormat="false" ht="15" hidden="false" customHeight="false" outlineLevel="0" collapsed="false">
      <c r="A16" s="13" t="s">
        <v>148</v>
      </c>
      <c r="B16" s="42" t="s">
        <v>149</v>
      </c>
      <c r="C16" s="21" t="n">
        <v>69.1</v>
      </c>
      <c r="D16" s="13" t="n">
        <f aca="false">(C16)/($C$26)</f>
        <v>0.722048066875653</v>
      </c>
      <c r="E16" s="24" t="n">
        <v>396.65</v>
      </c>
      <c r="F16" s="21" t="n">
        <v>69.1</v>
      </c>
      <c r="G16" s="13" t="n">
        <f aca="false">(F16)/($F$26)</f>
        <v>1</v>
      </c>
      <c r="H16" s="13" t="n">
        <f aca="false">(E16)* (G16)</f>
        <v>396.65</v>
      </c>
      <c r="I16" s="32" t="n">
        <f aca="false">(H16)*1/($H$44)</f>
        <v>1.44381995066283</v>
      </c>
      <c r="J16" s="0" t="s">
        <v>150</v>
      </c>
    </row>
    <row r="17" customFormat="false" ht="15" hidden="false" customHeight="false" outlineLevel="0" collapsed="false">
      <c r="A17" s="0" t="s">
        <v>151</v>
      </c>
      <c r="B17" s="42"/>
      <c r="C17" s="21" t="n">
        <v>18.4</v>
      </c>
      <c r="D17" s="13" t="n">
        <f aca="false">(C17)/($C$26)</f>
        <v>0.19226750261233</v>
      </c>
      <c r="E17" s="43" t="n">
        <v>398.671</v>
      </c>
      <c r="F17" s="21" t="n">
        <v>0</v>
      </c>
      <c r="G17" s="13" t="n">
        <f aca="false">(F17)/($F$43)</f>
        <v>0</v>
      </c>
      <c r="H17" s="13" t="n">
        <f aca="false">(E17)* (G17)</f>
        <v>0</v>
      </c>
      <c r="I17" s="32" t="n">
        <f aca="false">(H17)*1/($H$44)</f>
        <v>0</v>
      </c>
      <c r="J17" s="0" t="s">
        <v>152</v>
      </c>
    </row>
    <row r="18" customFormat="false" ht="15" hidden="false" customHeight="false" outlineLevel="0" collapsed="false">
      <c r="A18" s="13" t="s">
        <v>153</v>
      </c>
      <c r="B18" s="42" t="s">
        <v>154</v>
      </c>
      <c r="C18" s="19" t="n">
        <v>4.5</v>
      </c>
      <c r="D18" s="13" t="n">
        <f aca="false">(C18)/($C$26)</f>
        <v>0.0470219435736677</v>
      </c>
      <c r="E18" s="44" t="n">
        <v>0</v>
      </c>
      <c r="F18" s="19" t="n">
        <v>0</v>
      </c>
      <c r="G18" s="13" t="n">
        <f aca="false">(F18)/($F$43)</f>
        <v>0</v>
      </c>
      <c r="H18" s="13" t="n">
        <f aca="false">(E18)* (G18)</f>
        <v>0</v>
      </c>
      <c r="I18" s="32" t="n">
        <f aca="false">(H18)*1/($H$44)</f>
        <v>0</v>
      </c>
      <c r="J18" s="0" t="s">
        <v>152</v>
      </c>
    </row>
    <row r="19" customFormat="false" ht="15" hidden="false" customHeight="false" outlineLevel="0" collapsed="false">
      <c r="A19" s="13" t="s">
        <v>155</v>
      </c>
      <c r="B19" s="42"/>
      <c r="C19" s="19" t="n">
        <v>0.3</v>
      </c>
      <c r="D19" s="13" t="n">
        <f aca="false">(C19)/($C$26)</f>
        <v>0.00313479623824451</v>
      </c>
      <c r="E19" s="13" t="n">
        <v>412.37051615</v>
      </c>
      <c r="F19" s="19" t="n">
        <v>0</v>
      </c>
      <c r="G19" s="13" t="n">
        <f aca="false">(F19)/($F$43)</f>
        <v>0</v>
      </c>
      <c r="H19" s="13" t="n">
        <f aca="false">(E19)* (G19)</f>
        <v>0</v>
      </c>
      <c r="I19" s="32" t="n">
        <f aca="false">(H19)*1/($H$44)</f>
        <v>0</v>
      </c>
      <c r="J19" s="0" t="s">
        <v>152</v>
      </c>
    </row>
    <row r="20" customFormat="false" ht="15" hidden="false" customHeight="false" outlineLevel="0" collapsed="false">
      <c r="A20" s="13" t="s">
        <v>156</v>
      </c>
      <c r="B20" s="42"/>
      <c r="C20" s="21" t="n">
        <v>0</v>
      </c>
      <c r="D20" s="13" t="n">
        <f aca="false">(C20)/($C$26)</f>
        <v>0</v>
      </c>
      <c r="E20" s="45" t="n">
        <v>426.7174</v>
      </c>
      <c r="F20" s="21" t="n">
        <v>0</v>
      </c>
      <c r="G20" s="13" t="n">
        <f aca="false">(F20)/($F$43)</f>
        <v>0</v>
      </c>
      <c r="H20" s="13" t="n">
        <f aca="false">(E20)* (G20)</f>
        <v>0</v>
      </c>
      <c r="I20" s="32" t="n">
        <f aca="false">(H20)*1/($H$44)</f>
        <v>0</v>
      </c>
      <c r="J20" s="0" t="s">
        <v>157</v>
      </c>
    </row>
    <row r="21" customFormat="false" ht="15" hidden="false" customHeight="false" outlineLevel="0" collapsed="false">
      <c r="A21" s="13" t="s">
        <v>158</v>
      </c>
      <c r="B21" s="42"/>
      <c r="C21" s="21" t="n">
        <v>1.3</v>
      </c>
      <c r="D21" s="13" t="n">
        <f aca="false">(C21)/($C$26)</f>
        <v>0.0135841170323929</v>
      </c>
      <c r="E21" s="13" t="n">
        <v>440.744</v>
      </c>
      <c r="F21" s="21" t="n">
        <v>0</v>
      </c>
      <c r="G21" s="13" t="n">
        <f aca="false">(F21)/($F$43)</f>
        <v>0</v>
      </c>
      <c r="H21" s="13" t="n">
        <f aca="false">(E21)* (G21)</f>
        <v>0</v>
      </c>
      <c r="I21" s="21" t="n">
        <f aca="false">(H21)*1/($H$44)</f>
        <v>0</v>
      </c>
      <c r="J21" s="0" t="s">
        <v>152</v>
      </c>
    </row>
    <row r="22" customFormat="false" ht="15" hidden="false" customHeight="false" outlineLevel="0" collapsed="false">
      <c r="A22" s="13" t="s">
        <v>159</v>
      </c>
      <c r="B22" s="42" t="s">
        <v>160</v>
      </c>
      <c r="C22" s="21" t="n">
        <v>1.1</v>
      </c>
      <c r="D22" s="13" t="n">
        <f aca="false">(C22)/($C$26)</f>
        <v>0.0114942528735632</v>
      </c>
      <c r="E22" s="13" t="n">
        <v>0</v>
      </c>
      <c r="F22" s="21" t="n">
        <v>0</v>
      </c>
      <c r="G22" s="13" t="n">
        <f aca="false">(F22)/($F$43)</f>
        <v>0</v>
      </c>
      <c r="H22" s="13" t="n">
        <f aca="false">(E22)* (G22)</f>
        <v>0</v>
      </c>
      <c r="I22" s="21" t="n">
        <f aca="false">(H22)*1/($H$44)</f>
        <v>0</v>
      </c>
      <c r="J22" s="0" t="s">
        <v>152</v>
      </c>
    </row>
    <row r="23" customFormat="false" ht="15" hidden="false" customHeight="false" outlineLevel="0" collapsed="false">
      <c r="A23" s="13" t="s">
        <v>161</v>
      </c>
      <c r="B23" s="42"/>
      <c r="C23" s="21" t="n">
        <v>0</v>
      </c>
      <c r="D23" s="13" t="n">
        <f aca="false">(C23)/($C$26)</f>
        <v>0</v>
      </c>
      <c r="E23" s="13" t="n">
        <v>0</v>
      </c>
      <c r="F23" s="21" t="n">
        <v>0</v>
      </c>
      <c r="G23" s="13" t="n">
        <f aca="false">(F23)/($F$43)</f>
        <v>0</v>
      </c>
      <c r="H23" s="13" t="n">
        <f aca="false">(E23)* (G23)</f>
        <v>0</v>
      </c>
      <c r="I23" s="21" t="n">
        <f aca="false">(H23)*1/($H$44)</f>
        <v>0</v>
      </c>
      <c r="J23" s="0" t="s">
        <v>152</v>
      </c>
    </row>
    <row r="24" customFormat="false" ht="15" hidden="false" customHeight="false" outlineLevel="0" collapsed="false">
      <c r="A24" s="13" t="s">
        <v>162</v>
      </c>
      <c r="C24" s="21" t="n">
        <v>0</v>
      </c>
      <c r="D24" s="13" t="n">
        <f aca="false">(C24)/($C$26)</f>
        <v>0</v>
      </c>
      <c r="E24" s="13" t="n">
        <v>0</v>
      </c>
      <c r="F24" s="21" t="n">
        <v>0</v>
      </c>
      <c r="G24" s="13" t="n">
        <f aca="false">(F24)/($F$43)</f>
        <v>0</v>
      </c>
      <c r="H24" s="13" t="n">
        <f aca="false">(E24)* (G24)</f>
        <v>0</v>
      </c>
      <c r="I24" s="21" t="n">
        <f aca="false">(H24)*1/($H$44)</f>
        <v>0</v>
      </c>
      <c r="J24" s="0" t="s">
        <v>152</v>
      </c>
    </row>
    <row r="25" customFormat="false" ht="15" hidden="false" customHeight="false" outlineLevel="0" collapsed="false">
      <c r="A25" s="0" t="s">
        <v>163</v>
      </c>
      <c r="B25" s="46"/>
      <c r="C25" s="21" t="n">
        <v>1</v>
      </c>
      <c r="D25" s="13" t="n">
        <f aca="false">(C25)/($C$26)</f>
        <v>0.0104493207941484</v>
      </c>
      <c r="E25" s="13" t="n">
        <v>0</v>
      </c>
      <c r="F25" s="21" t="n">
        <v>0</v>
      </c>
      <c r="J25" s="0" t="s">
        <v>152</v>
      </c>
    </row>
    <row r="26" customFormat="false" ht="15" hidden="false" customHeight="false" outlineLevel="0" collapsed="false">
      <c r="B26" s="0" t="s">
        <v>138</v>
      </c>
      <c r="C26" s="21" t="n">
        <f aca="false">SUM(C16:C25)</f>
        <v>95.7</v>
      </c>
      <c r="E26" s="0" t="s">
        <v>138</v>
      </c>
      <c r="F26" s="21" t="n">
        <f aca="false">SUM(F16:F24)</f>
        <v>69.1</v>
      </c>
      <c r="G26" s="13"/>
      <c r="I26" s="13"/>
    </row>
    <row r="27" customFormat="false" ht="45" hidden="false" customHeight="false" outlineLevel="0" collapsed="false">
      <c r="E27" s="13"/>
      <c r="F27" s="13"/>
      <c r="G27" s="19" t="s">
        <v>164</v>
      </c>
      <c r="H27" s="21" t="n">
        <f aca="false">SUM(H16:H24)</f>
        <v>396.65</v>
      </c>
      <c r="I27" s="47"/>
    </row>
    <row r="28" customFormat="false" ht="15" hidden="false" customHeight="false" outlineLevel="0" collapsed="false">
      <c r="C28" s="29"/>
      <c r="D28" s="29"/>
      <c r="E28" s="29"/>
      <c r="G28" s="13"/>
      <c r="H28" s="29"/>
    </row>
    <row r="29" customFormat="false" ht="15" hidden="false" customHeight="false" outlineLevel="0" collapsed="false">
      <c r="C29" s="29"/>
      <c r="D29" s="29"/>
      <c r="E29" s="29"/>
      <c r="G29" s="13"/>
      <c r="H29" s="29"/>
    </row>
    <row r="30" customFormat="false" ht="15" hidden="false" customHeight="false" outlineLevel="0" collapsed="false">
      <c r="C30" s="29"/>
      <c r="D30" s="29"/>
      <c r="E30" s="29"/>
      <c r="G30" s="13"/>
      <c r="H30" s="29"/>
    </row>
    <row r="31" customFormat="false" ht="15" hidden="false" customHeight="false" outlineLevel="0" collapsed="false">
      <c r="C31" s="29"/>
      <c r="D31" s="29"/>
      <c r="E31" s="29"/>
      <c r="G31" s="13"/>
      <c r="H31" s="29"/>
    </row>
    <row r="33" customFormat="false" ht="75" hidden="false" customHeight="false" outlineLevel="0" collapsed="false">
      <c r="A33" s="35" t="s">
        <v>165</v>
      </c>
      <c r="B33" s="7" t="s">
        <v>121</v>
      </c>
      <c r="C33" s="38" t="s">
        <v>122</v>
      </c>
      <c r="D33" s="9" t="s">
        <v>142</v>
      </c>
      <c r="E33" s="7" t="s">
        <v>11</v>
      </c>
      <c r="F33" s="11" t="s">
        <v>166</v>
      </c>
      <c r="G33" s="9" t="s">
        <v>167</v>
      </c>
      <c r="H33" s="9" t="s">
        <v>168</v>
      </c>
      <c r="I33" s="9" t="s">
        <v>169</v>
      </c>
      <c r="J33" s="12" t="s">
        <v>170</v>
      </c>
      <c r="K33" s="41" t="s">
        <v>171</v>
      </c>
      <c r="L33" s="13" t="s">
        <v>172</v>
      </c>
    </row>
    <row r="34" customFormat="false" ht="15" hidden="false" customHeight="false" outlineLevel="0" collapsed="false">
      <c r="A34" s="13" t="s">
        <v>173</v>
      </c>
      <c r="B34" s="42" t="s">
        <v>174</v>
      </c>
      <c r="C34" s="21" t="n">
        <v>25.1</v>
      </c>
      <c r="D34" s="0" t="n">
        <f aca="false">(C34)/($C$43)</f>
        <v>0.251</v>
      </c>
      <c r="E34" s="43" t="n">
        <v>254.408</v>
      </c>
      <c r="F34" s="21" t="n">
        <v>25.1</v>
      </c>
      <c r="G34" s="0" t="n">
        <f aca="false">(F34)/($F$43)</f>
        <v>0.273122959738847</v>
      </c>
      <c r="H34" s="13" t="n">
        <f aca="false">(E34)* (G34)</f>
        <v>69.4846659412405</v>
      </c>
      <c r="I34" s="29" t="n">
        <f aca="false">(H34)*($G$7)</f>
        <v>10.9975730266712</v>
      </c>
      <c r="J34" s="32" t="n">
        <f aca="false">(I34)*1/($H$10)</f>
        <v>0.0188272982441166</v>
      </c>
      <c r="K34" s="0" t="s">
        <v>175</v>
      </c>
      <c r="L34" s="40" t="n">
        <f aca="false">((J34)*('Elemental Equation'!$E$5)*1000)/(E34)</f>
        <v>0.0296831441059839</v>
      </c>
    </row>
    <row r="35" customFormat="false" ht="15" hidden="false" customHeight="false" outlineLevel="0" collapsed="false">
      <c r="A35" s="13" t="s">
        <v>176</v>
      </c>
      <c r="B35" s="42" t="s">
        <v>177</v>
      </c>
      <c r="C35" s="21" t="n">
        <v>28</v>
      </c>
      <c r="D35" s="0" t="n">
        <f aca="false">(C35)/($C$43)</f>
        <v>0.28</v>
      </c>
      <c r="E35" s="44" t="n">
        <v>284.48</v>
      </c>
      <c r="F35" s="21" t="n">
        <v>28</v>
      </c>
      <c r="G35" s="0" t="n">
        <f aca="false">(F35)/($F$43)</f>
        <v>0.304678998911861</v>
      </c>
      <c r="H35" s="13" t="n">
        <f aca="false">(E35)* (G35)</f>
        <v>86.6750816104461</v>
      </c>
      <c r="I35" s="29" t="n">
        <f aca="false">(H35)*($G$7)</f>
        <v>13.7183582405023</v>
      </c>
      <c r="J35" s="32" t="n">
        <f aca="false">(I35)*1/($H$10)</f>
        <v>0.0234851472581445</v>
      </c>
      <c r="K35" s="0" t="s">
        <v>178</v>
      </c>
      <c r="L35" s="40" t="n">
        <f aca="false">((J35)*('Elemental Equation'!$E$5)*1000)/(E35)</f>
        <v>0.0331126707158386</v>
      </c>
    </row>
    <row r="36" customFormat="false" ht="15" hidden="false" customHeight="false" outlineLevel="0" collapsed="false">
      <c r="A36" s="13" t="s">
        <v>179</v>
      </c>
      <c r="B36" s="42" t="s">
        <v>180</v>
      </c>
      <c r="C36" s="19" t="n">
        <v>7.6</v>
      </c>
      <c r="D36" s="0" t="n">
        <f aca="false">(C36)/($C$43)</f>
        <v>0.076</v>
      </c>
      <c r="E36" s="44" t="n">
        <v>282.46</v>
      </c>
      <c r="F36" s="19" t="n">
        <v>7.6</v>
      </c>
      <c r="G36" s="0" t="n">
        <f aca="false">(F36)/($F$43)</f>
        <v>0.0826985854189336</v>
      </c>
      <c r="H36" s="13" t="n">
        <f aca="false">(E36)* (G36)</f>
        <v>23.359042437432</v>
      </c>
      <c r="I36" s="29" t="n">
        <f aca="false">(H36)*($G$7)</f>
        <v>3.69711463038492</v>
      </c>
      <c r="J36" s="32" t="n">
        <f aca="false">(I36)*1/($H$10)</f>
        <v>0.00632927643400363</v>
      </c>
      <c r="K36" s="0" t="s">
        <v>181</v>
      </c>
      <c r="L36" s="40" t="n">
        <f aca="false">((J36)*('Elemental Equation'!$E$5)*1000)/(E36)</f>
        <v>0.00898772490858477</v>
      </c>
    </row>
    <row r="37" customFormat="false" ht="15" hidden="false" customHeight="false" outlineLevel="0" collapsed="false">
      <c r="A37" s="13" t="s">
        <v>182</v>
      </c>
      <c r="B37" s="42" t="s">
        <v>183</v>
      </c>
      <c r="C37" s="19" t="n">
        <v>30.8</v>
      </c>
      <c r="D37" s="0" t="n">
        <f aca="false">(C37)/($C$43)</f>
        <v>0.308</v>
      </c>
      <c r="E37" s="13" t="n">
        <v>280.45</v>
      </c>
      <c r="F37" s="19" t="n">
        <v>30.8</v>
      </c>
      <c r="G37" s="0" t="n">
        <f aca="false">(F37)/($F$43)</f>
        <v>0.335146898803047</v>
      </c>
      <c r="H37" s="13" t="n">
        <f aca="false">(E37)* (G37)</f>
        <v>93.9919477693145</v>
      </c>
      <c r="I37" s="29" t="n">
        <f aca="false">(H37)*($G$7)</f>
        <v>14.8764233879491</v>
      </c>
      <c r="J37" s="32" t="n">
        <f aca="false">(I37)*1/($H$10)</f>
        <v>0.0254676972138685</v>
      </c>
      <c r="K37" s="0" t="s">
        <v>184</v>
      </c>
      <c r="L37" s="40" t="n">
        <f aca="false">((J37)*('Elemental Equation'!$E$5)*1000)/(E37)</f>
        <v>0.0364239377874225</v>
      </c>
    </row>
    <row r="38" customFormat="false" ht="15" hidden="false" customHeight="false" outlineLevel="0" collapsed="false">
      <c r="A38" s="13" t="s">
        <v>185</v>
      </c>
      <c r="B38" s="42" t="s">
        <v>186</v>
      </c>
      <c r="C38" s="21" t="n">
        <v>0.4</v>
      </c>
      <c r="D38" s="0" t="n">
        <f aca="false">(C38)/($C$43)</f>
        <v>0.004</v>
      </c>
      <c r="E38" s="45" t="n">
        <v>278.43</v>
      </c>
      <c r="F38" s="21" t="n">
        <v>0.4</v>
      </c>
      <c r="G38" s="0" t="n">
        <f aca="false">(F38)/($F$43)</f>
        <v>0.0043525571273123</v>
      </c>
      <c r="H38" s="13" t="n">
        <f aca="false">(E38)* (G38)</f>
        <v>1.21188248095756</v>
      </c>
      <c r="I38" s="29" t="n">
        <f aca="false">(H38)*($G$7)</f>
        <v>0.191808737993283</v>
      </c>
      <c r="J38" s="28" t="n">
        <f aca="false">(I38)*1/($H$10)</f>
        <v>0.000328367023094025</v>
      </c>
      <c r="K38" s="0" t="s">
        <v>187</v>
      </c>
      <c r="L38" s="40" t="n">
        <f aca="false">((J38)*('Elemental Equation'!$E$5)*1000)/(E38)</f>
        <v>0.000473038153083409</v>
      </c>
    </row>
    <row r="39" customFormat="false" ht="15" hidden="false" customHeight="false" outlineLevel="0" collapsed="false">
      <c r="A39" s="13" t="s">
        <v>188</v>
      </c>
      <c r="B39" s="42" t="s">
        <v>189</v>
      </c>
      <c r="C39" s="21" t="n">
        <v>3.7</v>
      </c>
      <c r="D39" s="0" t="n">
        <f aca="false">(C39)/($C$43)</f>
        <v>0.037</v>
      </c>
      <c r="E39" s="13" t="n">
        <v>312.54</v>
      </c>
      <c r="F39" s="21" t="n">
        <v>0</v>
      </c>
      <c r="G39" s="0" t="n">
        <f aca="false">(F39)/($F$43)</f>
        <v>0</v>
      </c>
      <c r="H39" s="13" t="n">
        <f aca="false">(E39)* (G39)</f>
        <v>0</v>
      </c>
      <c r="I39" s="0" t="n">
        <f aca="false">(H39)*($G$7)</f>
        <v>0</v>
      </c>
      <c r="J39" s="32" t="n">
        <f aca="false">(I39)*1/($H$10)</f>
        <v>0</v>
      </c>
      <c r="K39" s="0" t="s">
        <v>152</v>
      </c>
    </row>
    <row r="40" customFormat="false" ht="15" hidden="false" customHeight="false" outlineLevel="0" collapsed="false">
      <c r="A40" s="13" t="s">
        <v>190</v>
      </c>
      <c r="B40" s="42" t="s">
        <v>191</v>
      </c>
      <c r="C40" s="21" t="n">
        <v>0.7</v>
      </c>
      <c r="D40" s="0" t="n">
        <f aca="false">(C40)/($C$43)</f>
        <v>0.007</v>
      </c>
      <c r="E40" s="13" t="n">
        <v>310.51</v>
      </c>
      <c r="F40" s="21" t="n">
        <v>0</v>
      </c>
      <c r="G40" s="0" t="n">
        <f aca="false">(F40)/($F$43)</f>
        <v>0</v>
      </c>
      <c r="H40" s="13" t="n">
        <f aca="false">(E40)* (G40)</f>
        <v>0</v>
      </c>
      <c r="I40" s="0" t="n">
        <f aca="false">(H40)*($G$7)</f>
        <v>0</v>
      </c>
      <c r="J40" s="32" t="n">
        <f aca="false">(I40)*1/($H$10)</f>
        <v>0</v>
      </c>
      <c r="K40" s="0" t="s">
        <v>152</v>
      </c>
    </row>
    <row r="41" customFormat="false" ht="15" hidden="false" customHeight="false" outlineLevel="0" collapsed="false">
      <c r="A41" s="13" t="s">
        <v>192</v>
      </c>
      <c r="B41" s="42" t="s">
        <v>193</v>
      </c>
      <c r="C41" s="21" t="n">
        <v>1.8</v>
      </c>
      <c r="D41" s="0" t="n">
        <f aca="false">(C41)/($C$43)</f>
        <v>0.018</v>
      </c>
      <c r="E41" s="13" t="n">
        <v>340.58</v>
      </c>
      <c r="F41" s="21" t="n">
        <v>0</v>
      </c>
      <c r="G41" s="0" t="n">
        <f aca="false">(F41)/($F$43)</f>
        <v>0</v>
      </c>
      <c r="H41" s="13" t="n">
        <f aca="false">(E41)* (G41)</f>
        <v>0</v>
      </c>
      <c r="I41" s="0" t="n">
        <f aca="false">(H41)*($G$7)</f>
        <v>0</v>
      </c>
      <c r="J41" s="32" t="n">
        <f aca="false">(I41)*1/($H$10)</f>
        <v>0</v>
      </c>
      <c r="K41" s="0" t="s">
        <v>152</v>
      </c>
    </row>
    <row r="42" customFormat="false" ht="15" hidden="false" customHeight="false" outlineLevel="0" collapsed="false">
      <c r="A42" s="34" t="s">
        <v>194</v>
      </c>
      <c r="B42" s="46" t="s">
        <v>195</v>
      </c>
      <c r="C42" s="21" t="n">
        <v>1.9</v>
      </c>
      <c r="D42" s="0" t="n">
        <f aca="false">(C42)/($C$43)</f>
        <v>0.019</v>
      </c>
      <c r="E42" s="13" t="n">
        <v>338.57</v>
      </c>
      <c r="F42" s="21" t="n">
        <v>0</v>
      </c>
      <c r="G42" s="0" t="n">
        <f aca="false">(F42)/($F$43)</f>
        <v>0</v>
      </c>
      <c r="H42" s="13" t="n">
        <f aca="false">(E42)* (G42)</f>
        <v>0</v>
      </c>
      <c r="I42" s="0" t="n">
        <f aca="false">(H42)*($G$7)</f>
        <v>0</v>
      </c>
      <c r="J42" s="32" t="n">
        <f aca="false">(I42)*1/($H$10)</f>
        <v>0</v>
      </c>
      <c r="K42" s="0" t="s">
        <v>152</v>
      </c>
    </row>
    <row r="43" customFormat="false" ht="15" hidden="false" customHeight="false" outlineLevel="0" collapsed="false">
      <c r="B43" s="0" t="s">
        <v>138</v>
      </c>
      <c r="C43" s="21" t="n">
        <f aca="false">SUM(C34:C42)</f>
        <v>100</v>
      </c>
      <c r="E43" s="0" t="s">
        <v>138</v>
      </c>
      <c r="F43" s="21" t="n">
        <f aca="false">SUM(F34:F42)</f>
        <v>91.9</v>
      </c>
      <c r="J43" s="13"/>
    </row>
    <row r="44" customFormat="false" ht="45" hidden="false" customHeight="false" outlineLevel="0" collapsed="false">
      <c r="E44" s="13"/>
      <c r="F44" s="13"/>
      <c r="G44" s="19" t="s">
        <v>196</v>
      </c>
      <c r="H44" s="21" t="n">
        <f aca="false">SUM(H34:H42)</f>
        <v>274.722620239391</v>
      </c>
      <c r="I44" s="21" t="n">
        <f aca="false">SUM(I34:I42)</f>
        <v>43.4812780235007</v>
      </c>
      <c r="J44" s="48" t="n">
        <f aca="false">SUM(J34:J42)</f>
        <v>0.0744377861732272</v>
      </c>
      <c r="K44" s="21"/>
      <c r="L44" s="49" t="n">
        <f aca="false">SUM(L34:L42)</f>
        <v>0.108680515670913</v>
      </c>
    </row>
    <row r="45" customFormat="false" ht="15" hidden="false" customHeight="false" outlineLevel="0" collapsed="false">
      <c r="E45" s="13"/>
      <c r="F45" s="13"/>
      <c r="G45" s="13"/>
      <c r="H45" s="13"/>
    </row>
    <row r="47" customFormat="false" ht="75" hidden="false" customHeight="false" outlineLevel="0" collapsed="false">
      <c r="A47" s="35" t="s">
        <v>197</v>
      </c>
      <c r="B47" s="7" t="s">
        <v>121</v>
      </c>
      <c r="C47" s="38" t="s">
        <v>122</v>
      </c>
      <c r="D47" s="9" t="s">
        <v>142</v>
      </c>
      <c r="E47" s="7" t="s">
        <v>11</v>
      </c>
      <c r="F47" s="11" t="s">
        <v>166</v>
      </c>
      <c r="G47" s="9" t="s">
        <v>167</v>
      </c>
      <c r="H47" s="9" t="s">
        <v>198</v>
      </c>
      <c r="I47" s="12" t="s">
        <v>170</v>
      </c>
      <c r="J47" s="50" t="s">
        <v>171</v>
      </c>
    </row>
    <row r="48" customFormat="false" ht="15" hidden="false" customHeight="false" outlineLevel="0" collapsed="false">
      <c r="A48" s="13" t="s">
        <v>173</v>
      </c>
      <c r="B48" s="42" t="s">
        <v>174</v>
      </c>
      <c r="C48" s="21" t="n">
        <v>29.3</v>
      </c>
      <c r="D48" s="0" t="n">
        <f aca="false">(C48)/($C$58)</f>
        <v>0.298674821610601</v>
      </c>
      <c r="E48" s="43" t="n">
        <v>254.408</v>
      </c>
      <c r="F48" s="21" t="n">
        <v>29.3</v>
      </c>
      <c r="G48" s="13" t="n">
        <f aca="false">(F48)/($F$58)</f>
        <v>0.298674821610601</v>
      </c>
      <c r="H48" s="13" t="n">
        <f aca="false">(E48)* (G48)</f>
        <v>75.9852640163099</v>
      </c>
      <c r="I48" s="32" t="n">
        <f aca="false">(H48)*1/($H$44)</f>
        <v>0.276589033513502</v>
      </c>
      <c r="J48" s="0" t="s">
        <v>175</v>
      </c>
    </row>
    <row r="49" customFormat="false" ht="15" hidden="false" customHeight="false" outlineLevel="0" collapsed="false">
      <c r="A49" s="0" t="s">
        <v>199</v>
      </c>
      <c r="B49" s="42" t="s">
        <v>200</v>
      </c>
      <c r="C49" s="42" t="s">
        <v>201</v>
      </c>
      <c r="D49" s="0" t="n">
        <f aca="false">(C49)/($C$58)</f>
        <v>0.0203873598369011</v>
      </c>
      <c r="E49" s="13" t="n">
        <v>254.41</v>
      </c>
      <c r="F49" s="42" t="s">
        <v>202</v>
      </c>
      <c r="G49" s="13" t="n">
        <f aca="false">(F49)/($F$58)</f>
        <v>0</v>
      </c>
      <c r="H49" s="13" t="n">
        <f aca="false">(E49)* (G49)</f>
        <v>0</v>
      </c>
      <c r="J49" s="0" t="s">
        <v>152</v>
      </c>
    </row>
    <row r="50" customFormat="false" ht="15" hidden="false" customHeight="false" outlineLevel="0" collapsed="false">
      <c r="A50" s="13" t="s">
        <v>176</v>
      </c>
      <c r="B50" s="42" t="s">
        <v>177</v>
      </c>
      <c r="C50" s="21" t="n">
        <v>20</v>
      </c>
      <c r="D50" s="0" t="n">
        <f aca="false">(C50)/($C$58)</f>
        <v>0.203873598369011</v>
      </c>
      <c r="E50" s="44" t="n">
        <v>284.48</v>
      </c>
      <c r="F50" s="21" t="n">
        <v>20</v>
      </c>
      <c r="G50" s="13" t="n">
        <f aca="false">(F50)/($F$58)</f>
        <v>0.203873598369011</v>
      </c>
      <c r="H50" s="13" t="n">
        <f aca="false">(E50)* (G50)</f>
        <v>57.9979612640163</v>
      </c>
      <c r="I50" s="32" t="n">
        <f aca="false">(H50)*1/($H$44)</f>
        <v>0.211114618859843</v>
      </c>
      <c r="J50" s="0" t="s">
        <v>178</v>
      </c>
    </row>
    <row r="51" customFormat="false" ht="15" hidden="false" customHeight="false" outlineLevel="0" collapsed="false">
      <c r="A51" s="13" t="s">
        <v>179</v>
      </c>
      <c r="B51" s="42" t="s">
        <v>180</v>
      </c>
      <c r="C51" s="19" t="n">
        <v>24.4</v>
      </c>
      <c r="D51" s="0" t="n">
        <f aca="false">(C51)/($C$58)</f>
        <v>0.248725790010194</v>
      </c>
      <c r="E51" s="44" t="n">
        <v>282.46</v>
      </c>
      <c r="F51" s="19" t="n">
        <v>24.4</v>
      </c>
      <c r="G51" s="13" t="n">
        <f aca="false">(F51)/($F$58)</f>
        <v>0.248725790010194</v>
      </c>
      <c r="H51" s="13" t="n">
        <f aca="false">(E51)* (G51)</f>
        <v>70.2550866462793</v>
      </c>
      <c r="I51" s="32" t="n">
        <f aca="false">(H51)*1/($H$44)</f>
        <v>0.255730986349285</v>
      </c>
      <c r="J51" s="0" t="s">
        <v>181</v>
      </c>
    </row>
    <row r="52" customFormat="false" ht="15" hidden="false" customHeight="false" outlineLevel="0" collapsed="false">
      <c r="A52" s="13" t="s">
        <v>182</v>
      </c>
      <c r="B52" s="42" t="s">
        <v>183</v>
      </c>
      <c r="C52" s="19" t="n">
        <v>20.5</v>
      </c>
      <c r="D52" s="0" t="n">
        <f aca="false">(C52)/($C$58)</f>
        <v>0.208970438328236</v>
      </c>
      <c r="E52" s="13" t="n">
        <v>280.45</v>
      </c>
      <c r="F52" s="19" t="n">
        <v>20.5</v>
      </c>
      <c r="G52" s="13" t="n">
        <f aca="false">(F52)/($F$58)</f>
        <v>0.208970438328236</v>
      </c>
      <c r="H52" s="13" t="n">
        <f aca="false">(E52)* (G52)</f>
        <v>58.6057594291539</v>
      </c>
      <c r="I52" s="32" t="n">
        <f aca="false">(H52)*1/($H$44)</f>
        <v>0.213327025557944</v>
      </c>
      <c r="J52" s="0" t="s">
        <v>184</v>
      </c>
    </row>
    <row r="53" customFormat="false" ht="15" hidden="false" customHeight="false" outlineLevel="0" collapsed="false">
      <c r="A53" s="13" t="s">
        <v>185</v>
      </c>
      <c r="B53" s="42" t="s">
        <v>186</v>
      </c>
      <c r="C53" s="21" t="n">
        <v>1.3</v>
      </c>
      <c r="D53" s="0" t="n">
        <f aca="false">(C53)/($C$58)</f>
        <v>0.0132517838939857</v>
      </c>
      <c r="E53" s="45" t="n">
        <v>278.43</v>
      </c>
      <c r="F53" s="21" t="n">
        <v>1.3</v>
      </c>
      <c r="G53" s="13" t="n">
        <f aca="false">(F53)/($F$58)</f>
        <v>0.0132517838939857</v>
      </c>
      <c r="H53" s="13" t="n">
        <f aca="false">(E53)* (G53)</f>
        <v>3.68969418960245</v>
      </c>
      <c r="I53" s="32" t="n">
        <f aca="false">(H53)*1/($H$44)</f>
        <v>0.0134306166211842</v>
      </c>
      <c r="J53" s="0" t="s">
        <v>187</v>
      </c>
    </row>
    <row r="54" customFormat="false" ht="15" hidden="false" customHeight="false" outlineLevel="0" collapsed="false">
      <c r="A54" s="13" t="s">
        <v>188</v>
      </c>
      <c r="B54" s="42" t="s">
        <v>189</v>
      </c>
      <c r="C54" s="21" t="n">
        <v>1</v>
      </c>
      <c r="D54" s="0" t="n">
        <f aca="false">(C54)/($C$58)</f>
        <v>0.0101936799184506</v>
      </c>
      <c r="E54" s="13" t="n">
        <v>312.54</v>
      </c>
      <c r="F54" s="21" t="n">
        <v>1</v>
      </c>
      <c r="G54" s="13" t="n">
        <v>0</v>
      </c>
      <c r="H54" s="13" t="n">
        <f aca="false">(E54)* (G54)</f>
        <v>0</v>
      </c>
      <c r="I54" s="21" t="n">
        <f aca="false">(H54)*1/($H$44)</f>
        <v>0</v>
      </c>
      <c r="J54" s="0" t="s">
        <v>152</v>
      </c>
    </row>
    <row r="55" customFormat="false" ht="15" hidden="false" customHeight="false" outlineLevel="0" collapsed="false">
      <c r="A55" s="13" t="s">
        <v>190</v>
      </c>
      <c r="B55" s="42" t="s">
        <v>191</v>
      </c>
      <c r="C55" s="21" t="n">
        <v>0.7</v>
      </c>
      <c r="D55" s="0" t="n">
        <f aca="false">(C55)/($C$58)</f>
        <v>0.00713557594291539</v>
      </c>
      <c r="E55" s="13" t="n">
        <v>310.51</v>
      </c>
      <c r="F55" s="21" t="n">
        <v>0.7</v>
      </c>
      <c r="G55" s="13" t="n">
        <v>0</v>
      </c>
      <c r="H55" s="13" t="n">
        <f aca="false">(E55)* (G55)</f>
        <v>0</v>
      </c>
      <c r="I55" s="21" t="n">
        <f aca="false">(H55)*1/($H$44)</f>
        <v>0</v>
      </c>
      <c r="J55" s="0" t="s">
        <v>152</v>
      </c>
    </row>
    <row r="56" customFormat="false" ht="15" hidden="false" customHeight="false" outlineLevel="0" collapsed="false">
      <c r="A56" s="13" t="s">
        <v>192</v>
      </c>
      <c r="B56" s="42" t="s">
        <v>193</v>
      </c>
      <c r="C56" s="21" t="n">
        <v>0.7</v>
      </c>
      <c r="D56" s="0" t="n">
        <f aca="false">(C56)/($C$58)</f>
        <v>0.00713557594291539</v>
      </c>
      <c r="E56" s="13" t="n">
        <v>340.58</v>
      </c>
      <c r="F56" s="21" t="n">
        <v>0.7</v>
      </c>
      <c r="G56" s="13" t="n">
        <v>0</v>
      </c>
      <c r="H56" s="13" t="n">
        <f aca="false">(E56)* (G56)</f>
        <v>0</v>
      </c>
      <c r="I56" s="21" t="n">
        <f aca="false">(H56)*1/($H$44)</f>
        <v>0</v>
      </c>
      <c r="J56" s="0" t="s">
        <v>152</v>
      </c>
    </row>
    <row r="57" customFormat="false" ht="15" hidden="false" customHeight="false" outlineLevel="0" collapsed="false">
      <c r="A57" s="34" t="s">
        <v>194</v>
      </c>
      <c r="B57" s="46" t="s">
        <v>195</v>
      </c>
      <c r="C57" s="21" t="n">
        <v>0.2</v>
      </c>
      <c r="D57" s="0" t="n">
        <f aca="false">(C57)/($C$58)</f>
        <v>0.00203873598369011</v>
      </c>
      <c r="E57" s="13" t="n">
        <v>338.57</v>
      </c>
      <c r="F57" s="21" t="n">
        <v>0.2</v>
      </c>
      <c r="G57" s="13" t="n">
        <v>0</v>
      </c>
      <c r="H57" s="13" t="n">
        <f aca="false">(E57)* (G57)</f>
        <v>0</v>
      </c>
      <c r="I57" s="21" t="n">
        <f aca="false">(H57)*1/($H$44)</f>
        <v>0</v>
      </c>
      <c r="J57" s="0" t="s">
        <v>152</v>
      </c>
    </row>
    <row r="58" customFormat="false" ht="15" hidden="false" customHeight="false" outlineLevel="0" collapsed="false">
      <c r="B58" s="0" t="s">
        <v>138</v>
      </c>
      <c r="C58" s="21" t="n">
        <f aca="false">SUM(C48:C57)</f>
        <v>98.1</v>
      </c>
      <c r="E58" s="0" t="s">
        <v>138</v>
      </c>
      <c r="F58" s="21" t="n">
        <f aca="false">SUM(F48:F57)</f>
        <v>98.1</v>
      </c>
      <c r="I58" s="13"/>
    </row>
    <row r="59" customFormat="false" ht="60" hidden="false" customHeight="false" outlineLevel="0" collapsed="false">
      <c r="E59" s="13"/>
      <c r="F59" s="13"/>
      <c r="G59" s="19" t="s">
        <v>203</v>
      </c>
      <c r="H59" s="21" t="n">
        <f aca="false">SUM(H48:H57)</f>
        <v>266.533765545362</v>
      </c>
    </row>
    <row r="62" customFormat="false" ht="45" hidden="false" customHeight="false" outlineLevel="0" collapsed="false">
      <c r="D62" s="16" t="s">
        <v>68</v>
      </c>
      <c r="E62" s="16" t="s">
        <v>69</v>
      </c>
      <c r="F62" s="16" t="s">
        <v>70</v>
      </c>
      <c r="G62" s="16" t="s">
        <v>71</v>
      </c>
      <c r="H62" s="16" t="s">
        <v>113</v>
      </c>
      <c r="I62" s="16" t="s">
        <v>73</v>
      </c>
      <c r="J62" s="16" t="s">
        <v>74</v>
      </c>
      <c r="K62" s="16" t="s">
        <v>75</v>
      </c>
      <c r="L62" s="16" t="s">
        <v>76</v>
      </c>
      <c r="M62" s="16" t="s">
        <v>96</v>
      </c>
    </row>
    <row r="63" customFormat="false" ht="15" hidden="false" customHeight="false" outlineLevel="0" collapsed="false">
      <c r="C63" s="0" t="s">
        <v>175</v>
      </c>
      <c r="D63" s="19" t="n">
        <v>16</v>
      </c>
      <c r="E63" s="19" t="n">
        <v>31</v>
      </c>
      <c r="F63" s="19" t="n">
        <v>2</v>
      </c>
      <c r="G63" s="23" t="n">
        <v>0</v>
      </c>
      <c r="H63" s="19" t="n">
        <v>0</v>
      </c>
      <c r="I63" s="24" t="n">
        <f aca="false">(D63)*($D34)</f>
        <v>4.016</v>
      </c>
      <c r="J63" s="24" t="n">
        <f aca="false">(E63)*($D34)</f>
        <v>7.781</v>
      </c>
      <c r="K63" s="24" t="n">
        <f aca="false">(F63)*($D34)</f>
        <v>0.502</v>
      </c>
      <c r="L63" s="24" t="n">
        <f aca="false">(G63)*($D41)</f>
        <v>0</v>
      </c>
      <c r="M63" s="24" t="n">
        <f aca="false">(H63)*($D41)</f>
        <v>0</v>
      </c>
    </row>
    <row r="64" customFormat="false" ht="15" hidden="false" customHeight="false" outlineLevel="0" collapsed="false">
      <c r="C64" s="0" t="s">
        <v>178</v>
      </c>
      <c r="D64" s="19" t="n">
        <v>18</v>
      </c>
      <c r="E64" s="19" t="n">
        <v>35</v>
      </c>
      <c r="F64" s="19" t="n">
        <v>2</v>
      </c>
      <c r="G64" s="23" t="n">
        <v>0</v>
      </c>
      <c r="H64" s="19" t="n">
        <v>0</v>
      </c>
      <c r="I64" s="24" t="n">
        <f aca="false">(D64)*($D35)</f>
        <v>5.04</v>
      </c>
      <c r="J64" s="24" t="n">
        <f aca="false">(E64)*($D35)</f>
        <v>9.8</v>
      </c>
      <c r="K64" s="24" t="n">
        <f aca="false">(F64)*($D35)</f>
        <v>0.56</v>
      </c>
      <c r="L64" s="24" t="n">
        <f aca="false">(G64)*($D42)</f>
        <v>0</v>
      </c>
      <c r="M64" s="24" t="n">
        <f aca="false">(H64)*($D42)</f>
        <v>0</v>
      </c>
    </row>
    <row r="65" customFormat="false" ht="15" hidden="false" customHeight="false" outlineLevel="0" collapsed="false">
      <c r="C65" s="0" t="s">
        <v>181</v>
      </c>
      <c r="D65" s="19" t="n">
        <v>18</v>
      </c>
      <c r="E65" s="19" t="n">
        <v>33</v>
      </c>
      <c r="F65" s="19" t="n">
        <v>2</v>
      </c>
      <c r="G65" s="23" t="n">
        <v>0</v>
      </c>
      <c r="H65" s="19" t="n">
        <v>0</v>
      </c>
      <c r="I65" s="24" t="n">
        <f aca="false">(D65)*($D36)</f>
        <v>1.368</v>
      </c>
      <c r="J65" s="24" t="n">
        <f aca="false">(E65)*($D36)</f>
        <v>2.508</v>
      </c>
      <c r="K65" s="24" t="n">
        <f aca="false">(F65)*($D36)</f>
        <v>0.152</v>
      </c>
      <c r="L65" s="24" t="n">
        <f aca="false">(G65)*($D43)</f>
        <v>0</v>
      </c>
      <c r="M65" s="24" t="n">
        <f aca="false">(H65)*($D43)</f>
        <v>0</v>
      </c>
    </row>
    <row r="66" customFormat="false" ht="15" hidden="false" customHeight="false" outlineLevel="0" collapsed="false">
      <c r="C66" s="0" t="s">
        <v>184</v>
      </c>
      <c r="D66" s="19" t="n">
        <v>18</v>
      </c>
      <c r="E66" s="19" t="n">
        <v>31</v>
      </c>
      <c r="F66" s="19" t="n">
        <v>2</v>
      </c>
      <c r="G66" s="23" t="n">
        <v>0</v>
      </c>
      <c r="H66" s="19" t="n">
        <v>0</v>
      </c>
      <c r="I66" s="24" t="n">
        <f aca="false">(D66)*($D37)</f>
        <v>5.544</v>
      </c>
      <c r="J66" s="24" t="n">
        <f aca="false">(E66)*($D37)</f>
        <v>9.548</v>
      </c>
      <c r="K66" s="24" t="n">
        <f aca="false">(F66)*($D37)</f>
        <v>0.616</v>
      </c>
      <c r="L66" s="24" t="n">
        <f aca="false">(G66)*($D44)</f>
        <v>0</v>
      </c>
      <c r="M66" s="24" t="n">
        <f aca="false">(H66)*($D44)</f>
        <v>0</v>
      </c>
    </row>
    <row r="67" customFormat="false" ht="15" hidden="false" customHeight="false" outlineLevel="0" collapsed="false">
      <c r="C67" s="0" t="s">
        <v>187</v>
      </c>
      <c r="D67" s="19" t="n">
        <v>18</v>
      </c>
      <c r="E67" s="19" t="n">
        <v>29</v>
      </c>
      <c r="F67" s="19" t="n">
        <v>2</v>
      </c>
      <c r="G67" s="23" t="n">
        <v>0</v>
      </c>
      <c r="H67" s="19" t="n">
        <v>0</v>
      </c>
      <c r="I67" s="24" t="n">
        <f aca="false">(D67)*($D38)</f>
        <v>0.072</v>
      </c>
      <c r="J67" s="24" t="n">
        <f aca="false">(E67)*($D38)</f>
        <v>0.116</v>
      </c>
      <c r="K67" s="24" t="n">
        <f aca="false">(F67)*($D38)</f>
        <v>0.008</v>
      </c>
      <c r="L67" s="24" t="n">
        <f aca="false">(G67)*($D45)</f>
        <v>0</v>
      </c>
      <c r="M67" s="24" t="n">
        <f aca="false">(H67)*($D45)</f>
        <v>0</v>
      </c>
    </row>
    <row r="68" customFormat="false" ht="15" hidden="false" customHeight="false" outlineLevel="0" collapsed="false">
      <c r="C68" s="13" t="s">
        <v>204</v>
      </c>
      <c r="D68" s="19" t="n">
        <f aca="false">SUM(D63:D67)</f>
        <v>88</v>
      </c>
      <c r="E68" s="19" t="n">
        <f aca="false">SUM(E63:E67)</f>
        <v>159</v>
      </c>
      <c r="F68" s="19" t="n">
        <f aca="false">SUM(F63:F67)</f>
        <v>10</v>
      </c>
      <c r="G68" s="19" t="n">
        <f aca="false">SUM(G63:G67)</f>
        <v>0</v>
      </c>
      <c r="H68" s="19" t="n">
        <f aca="false">SUM(H63:H67)</f>
        <v>0</v>
      </c>
      <c r="I68" s="24" t="n">
        <f aca="false">($G$7)*SUM(I63:I67)</f>
        <v>2.53870503597122</v>
      </c>
      <c r="J68" s="24" t="n">
        <f aca="false">($G$7)*SUM(J63:J67)</f>
        <v>4.70910791366906</v>
      </c>
      <c r="K68" s="24" t="n">
        <f aca="false">($G$7)*SUM(K63:K67)</f>
        <v>0.290906474820144</v>
      </c>
      <c r="L68" s="24" t="n">
        <f aca="false">($G$7)*SUM(L63:L67)</f>
        <v>0</v>
      </c>
      <c r="M68" s="24" t="n">
        <f aca="false">($G$7)*SUM(M63:M67)</f>
        <v>0</v>
      </c>
    </row>
    <row r="70" customFormat="false" ht="15" hidden="false" customHeight="false" outlineLevel="0" collapsed="false">
      <c r="C70" s="0" t="s">
        <v>175</v>
      </c>
      <c r="D70" s="19" t="n">
        <v>16</v>
      </c>
      <c r="E70" s="19" t="n">
        <v>31</v>
      </c>
      <c r="F70" s="19" t="n">
        <v>2</v>
      </c>
      <c r="G70" s="23" t="n">
        <v>0</v>
      </c>
      <c r="H70" s="19" t="n">
        <v>0</v>
      </c>
      <c r="I70" s="24" t="n">
        <f aca="false">(D70)*($D$48)</f>
        <v>4.77879714576962</v>
      </c>
      <c r="J70" s="24" t="n">
        <f aca="false">(E70)*($D$48)</f>
        <v>9.25891946992864</v>
      </c>
      <c r="K70" s="24" t="n">
        <f aca="false">(F70)*($D$48)</f>
        <v>0.597349643221203</v>
      </c>
      <c r="L70" s="24" t="n">
        <f aca="false">(G70)*($D$48)</f>
        <v>0</v>
      </c>
      <c r="M70" s="24" t="n">
        <f aca="false">(H70)*($D$48)</f>
        <v>0</v>
      </c>
    </row>
    <row r="71" customFormat="false" ht="15" hidden="false" customHeight="false" outlineLevel="0" collapsed="false">
      <c r="C71" s="0" t="s">
        <v>178</v>
      </c>
      <c r="D71" s="19" t="n">
        <v>18</v>
      </c>
      <c r="E71" s="19" t="n">
        <v>35</v>
      </c>
      <c r="F71" s="19" t="n">
        <v>2</v>
      </c>
      <c r="G71" s="23" t="n">
        <v>0</v>
      </c>
      <c r="H71" s="19" t="n">
        <v>0</v>
      </c>
      <c r="I71" s="24" t="n">
        <f aca="false">(D71)*($D$50)</f>
        <v>3.6697247706422</v>
      </c>
      <c r="J71" s="24" t="n">
        <f aca="false">(E71)*($D$50)</f>
        <v>7.13557594291539</v>
      </c>
      <c r="K71" s="24" t="n">
        <f aca="false">(F71)*($D$50)</f>
        <v>0.407747196738022</v>
      </c>
      <c r="L71" s="24" t="n">
        <f aca="false">(G71)*($D$50)</f>
        <v>0</v>
      </c>
      <c r="M71" s="24" t="n">
        <f aca="false">(H71)*($D$50)</f>
        <v>0</v>
      </c>
    </row>
    <row r="72" customFormat="false" ht="15" hidden="false" customHeight="false" outlineLevel="0" collapsed="false">
      <c r="C72" s="0" t="s">
        <v>181</v>
      </c>
      <c r="D72" s="19" t="n">
        <v>18</v>
      </c>
      <c r="E72" s="19" t="n">
        <v>33</v>
      </c>
      <c r="F72" s="19" t="n">
        <v>2</v>
      </c>
      <c r="G72" s="23" t="n">
        <v>0</v>
      </c>
      <c r="H72" s="19" t="n">
        <v>0</v>
      </c>
      <c r="I72" s="24" t="n">
        <f aca="false">(D72)*($D$51)</f>
        <v>4.47706422018349</v>
      </c>
      <c r="J72" s="24" t="n">
        <f aca="false">(E72)*($D$51)</f>
        <v>8.20795107033639</v>
      </c>
      <c r="K72" s="24" t="n">
        <f aca="false">(F72)*($D$51)</f>
        <v>0.497451580020387</v>
      </c>
      <c r="L72" s="24" t="n">
        <f aca="false">(G72)*($D$51)</f>
        <v>0</v>
      </c>
      <c r="M72" s="24" t="n">
        <f aca="false">(H72)*($D$51)</f>
        <v>0</v>
      </c>
    </row>
    <row r="73" customFormat="false" ht="15" hidden="false" customHeight="false" outlineLevel="0" collapsed="false">
      <c r="C73" s="0" t="s">
        <v>184</v>
      </c>
      <c r="D73" s="19" t="n">
        <v>18</v>
      </c>
      <c r="E73" s="19" t="n">
        <v>31</v>
      </c>
      <c r="F73" s="19" t="n">
        <v>2</v>
      </c>
      <c r="G73" s="23" t="n">
        <v>0</v>
      </c>
      <c r="H73" s="19" t="n">
        <v>0</v>
      </c>
      <c r="I73" s="24" t="n">
        <f aca="false">(D73)*($D$52)</f>
        <v>3.76146788990826</v>
      </c>
      <c r="J73" s="24" t="n">
        <f aca="false">(E73)*($D$52)</f>
        <v>6.47808358817533</v>
      </c>
      <c r="K73" s="24" t="n">
        <f aca="false">(F73)*($D$52)</f>
        <v>0.417940876656473</v>
      </c>
      <c r="L73" s="24" t="n">
        <f aca="false">(G73)*($D$52)</f>
        <v>0</v>
      </c>
      <c r="M73" s="24" t="n">
        <f aca="false">(H73)*($D$52)</f>
        <v>0</v>
      </c>
    </row>
    <row r="74" customFormat="false" ht="15" hidden="false" customHeight="false" outlineLevel="0" collapsed="false">
      <c r="C74" s="0" t="s">
        <v>187</v>
      </c>
      <c r="D74" s="19" t="n">
        <v>18</v>
      </c>
      <c r="E74" s="19" t="n">
        <v>29</v>
      </c>
      <c r="F74" s="19" t="n">
        <v>2</v>
      </c>
      <c r="G74" s="23" t="n">
        <v>0</v>
      </c>
      <c r="H74" s="19" t="n">
        <v>0</v>
      </c>
      <c r="I74" s="24" t="n">
        <f aca="false">(D74)*($D$53)</f>
        <v>0.238532110091743</v>
      </c>
      <c r="J74" s="24" t="n">
        <f aca="false">(E74)*($D$53)</f>
        <v>0.384301732925586</v>
      </c>
      <c r="K74" s="24" t="n">
        <f aca="false">(F74)*($D$53)</f>
        <v>0.0265035677879715</v>
      </c>
      <c r="L74" s="24" t="n">
        <f aca="false">(G74)*($D$53)</f>
        <v>0</v>
      </c>
      <c r="M74" s="24" t="n">
        <f aca="false">(H74)*($D$53)</f>
        <v>0</v>
      </c>
    </row>
    <row r="75" customFormat="false" ht="15" hidden="false" customHeight="false" outlineLevel="0" collapsed="false">
      <c r="C75" s="13" t="s">
        <v>205</v>
      </c>
      <c r="D75" s="19" t="n">
        <f aca="false">SUM(D70:D74)</f>
        <v>88</v>
      </c>
      <c r="E75" s="19" t="n">
        <f aca="false">SUM(E70:E74)</f>
        <v>159</v>
      </c>
      <c r="F75" s="19" t="n">
        <f aca="false">SUM(F70:F74)</f>
        <v>10</v>
      </c>
      <c r="G75" s="19" t="n">
        <f aca="false">SUM(G70:G74)</f>
        <v>0</v>
      </c>
      <c r="H75" s="19" t="n">
        <f aca="false">SUM(H70:H74)</f>
        <v>0</v>
      </c>
      <c r="I75" s="24" t="n">
        <f aca="false">SUM(I70:I74)</f>
        <v>16.9255861365953</v>
      </c>
      <c r="J75" s="24" t="n">
        <f aca="false">SUM(J70:J74)</f>
        <v>31.4648318042813</v>
      </c>
      <c r="K75" s="24" t="n">
        <f aca="false">SUM(K70:K74)</f>
        <v>1.94699286442406</v>
      </c>
      <c r="L75" s="24" t="n">
        <f aca="false">SUM(L70:L74)</f>
        <v>0</v>
      </c>
      <c r="M75" s="24" t="n">
        <f aca="false">SUM(M70:M74)</f>
        <v>0</v>
      </c>
    </row>
    <row r="78" customFormat="false" ht="15" hidden="false" customHeight="false" outlineLevel="0" collapsed="false">
      <c r="C78" s="0" t="s">
        <v>150</v>
      </c>
      <c r="D78" s="19" t="n">
        <v>28</v>
      </c>
      <c r="E78" s="19" t="n">
        <v>44</v>
      </c>
      <c r="F78" s="19" t="n">
        <v>1</v>
      </c>
      <c r="G78" s="23" t="n">
        <v>0</v>
      </c>
      <c r="H78" s="19" t="n">
        <v>0</v>
      </c>
      <c r="I78" s="24" t="n">
        <f aca="false">(D78)*($G$5)</f>
        <v>9.84364508393285</v>
      </c>
      <c r="J78" s="24" t="n">
        <f aca="false">(E78)*($G$5)</f>
        <v>15.4685851318945</v>
      </c>
      <c r="K78" s="24" t="n">
        <f aca="false">(F78)*($G$5)</f>
        <v>0.351558752997602</v>
      </c>
      <c r="L78" s="24" t="n">
        <f aca="false">(G78)*($G$5)</f>
        <v>0</v>
      </c>
      <c r="M78" s="24" t="n">
        <f aca="false">(H78)*($G$5)</f>
        <v>0</v>
      </c>
    </row>
    <row r="79" customFormat="false" ht="15" hidden="false" customHeight="false" outlineLevel="0" collapsed="false">
      <c r="C79" s="13" t="s">
        <v>206</v>
      </c>
      <c r="D79" s="19" t="n">
        <v>7</v>
      </c>
      <c r="E79" s="19" t="n">
        <v>12</v>
      </c>
      <c r="F79" s="19" t="n">
        <v>8</v>
      </c>
      <c r="G79" s="23" t="n">
        <v>1</v>
      </c>
      <c r="H79" s="19" t="n">
        <v>1</v>
      </c>
      <c r="I79" s="24"/>
      <c r="J79" s="24"/>
      <c r="K79" s="24"/>
      <c r="L79" s="24"/>
      <c r="M79" s="24"/>
    </row>
    <row r="80" customFormat="false" ht="15" hidden="false" customHeight="false" outlineLevel="0" collapsed="false">
      <c r="C80" s="13" t="s">
        <v>207</v>
      </c>
      <c r="D80" s="13" t="n">
        <f aca="false">2*(D75)</f>
        <v>176</v>
      </c>
      <c r="E80" s="13" t="n">
        <f aca="false">2*(E75)</f>
        <v>318</v>
      </c>
      <c r="F80" s="13" t="n">
        <f aca="false">2*(F75)</f>
        <v>20</v>
      </c>
      <c r="G80" s="13" t="n">
        <f aca="false">2*(G75)</f>
        <v>0</v>
      </c>
      <c r="H80" s="13" t="n">
        <f aca="false">2*(H75)</f>
        <v>0</v>
      </c>
    </row>
    <row r="81" customFormat="false" ht="15" hidden="false" customHeight="false" outlineLevel="0" collapsed="false">
      <c r="C81" s="13" t="s">
        <v>208</v>
      </c>
      <c r="D81" s="19" t="n">
        <f aca="false">SUM(D79:D80)</f>
        <v>183</v>
      </c>
      <c r="E81" s="19" t="n">
        <f aca="false">SUM(E79:E80)</f>
        <v>330</v>
      </c>
      <c r="F81" s="19" t="n">
        <f aca="false">SUM(F79:F80)</f>
        <v>28</v>
      </c>
      <c r="G81" s="19" t="n">
        <f aca="false">SUM(G79:G80)</f>
        <v>1</v>
      </c>
      <c r="H81" s="19" t="n">
        <f aca="false">SUM(H79:H80)</f>
        <v>1</v>
      </c>
      <c r="I81" s="24" t="n">
        <f aca="false">(D81)*($G$3)</f>
        <v>54.9877697841727</v>
      </c>
      <c r="J81" s="24" t="n">
        <f aca="false">(E81)*($G$3)</f>
        <v>99.158273381295</v>
      </c>
      <c r="K81" s="24" t="n">
        <f aca="false">(F81)*($G$3)</f>
        <v>8.41342925659472</v>
      </c>
      <c r="L81" s="24" t="n">
        <f aca="false">(G81)*($G$3)</f>
        <v>0.300479616306954</v>
      </c>
      <c r="M81" s="24" t="n">
        <f aca="false">(H81)*($G$3)</f>
        <v>0.300479616306954</v>
      </c>
    </row>
    <row r="83" customFormat="false" ht="15" hidden="false" customHeight="false" outlineLevel="0" collapsed="false">
      <c r="C83" s="13" t="s">
        <v>209</v>
      </c>
      <c r="D83" s="19" t="n">
        <v>10</v>
      </c>
      <c r="E83" s="19" t="n">
        <v>18</v>
      </c>
      <c r="F83" s="19" t="n">
        <v>8</v>
      </c>
      <c r="G83" s="23" t="n">
        <v>1</v>
      </c>
      <c r="H83" s="19" t="n">
        <v>1</v>
      </c>
      <c r="I83" s="24"/>
      <c r="J83" s="24"/>
      <c r="K83" s="24"/>
      <c r="L83" s="24"/>
      <c r="M83" s="24"/>
    </row>
    <row r="84" customFormat="false" ht="15" hidden="false" customHeight="false" outlineLevel="0" collapsed="false">
      <c r="C84" s="13" t="s">
        <v>207</v>
      </c>
      <c r="D84" s="13" t="n">
        <f aca="false">2*(D75)</f>
        <v>176</v>
      </c>
      <c r="E84" s="13" t="n">
        <f aca="false">2*(E75)</f>
        <v>318</v>
      </c>
      <c r="F84" s="13" t="n">
        <f aca="false">2*(F75)</f>
        <v>20</v>
      </c>
      <c r="G84" s="13" t="n">
        <f aca="false">2*(G75)</f>
        <v>0</v>
      </c>
      <c r="H84" s="13" t="n">
        <f aca="false">2*(H75)</f>
        <v>0</v>
      </c>
    </row>
    <row r="85" customFormat="false" ht="15" hidden="false" customHeight="false" outlineLevel="0" collapsed="false">
      <c r="C85" s="13" t="s">
        <v>210</v>
      </c>
      <c r="D85" s="19" t="n">
        <f aca="false">SUM(D83:D84)</f>
        <v>186</v>
      </c>
      <c r="E85" s="19" t="n">
        <f aca="false">SUM(E83:E84)</f>
        <v>336</v>
      </c>
      <c r="F85" s="19" t="n">
        <f aca="false">SUM(F83:F84)</f>
        <v>28</v>
      </c>
      <c r="G85" s="19" t="n">
        <f aca="false">SUM(G83:G84)</f>
        <v>1</v>
      </c>
      <c r="H85" s="19" t="n">
        <f aca="false">SUM(H83:H84)</f>
        <v>1</v>
      </c>
      <c r="I85" s="24" t="n">
        <f aca="false">(D85)*($G$4)</f>
        <v>35.2820143884892</v>
      </c>
      <c r="J85" s="24" t="n">
        <f aca="false">(E85)*($G$4)</f>
        <v>63.7352517985612</v>
      </c>
      <c r="K85" s="24" t="n">
        <f aca="false">(F85)*($G$4)</f>
        <v>5.31127098321343</v>
      </c>
      <c r="L85" s="24" t="n">
        <f aca="false">(G85)*($G$4)</f>
        <v>0.18968824940048</v>
      </c>
      <c r="M85" s="24" t="n">
        <f aca="false">(H85)*($G$4)</f>
        <v>0.18968824940048</v>
      </c>
    </row>
    <row r="87" customFormat="false" ht="30" hidden="false" customHeight="false" outlineLevel="0" collapsed="false">
      <c r="C87" s="16" t="s">
        <v>211</v>
      </c>
      <c r="D87" s="13" t="n">
        <f aca="false">SUM((D81),(D68),(D78),(D85))</f>
        <v>485</v>
      </c>
      <c r="E87" s="13" t="n">
        <f aca="false">SUM((E81),(E68),(E78),(E85))</f>
        <v>869</v>
      </c>
      <c r="F87" s="13" t="n">
        <f aca="false">SUM((F81),(F68),(F78),(F85))</f>
        <v>67</v>
      </c>
      <c r="G87" s="13" t="n">
        <f aca="false">SUM((G81),(G68),(G78),(G85))</f>
        <v>2</v>
      </c>
      <c r="H87" s="13" t="n">
        <f aca="false">SUM((H81),(H68),(H78),(H85))</f>
        <v>2</v>
      </c>
      <c r="I87" s="13" t="n">
        <f aca="false">SUM((I81),(I68),(I78),(I85))</f>
        <v>102.652134292566</v>
      </c>
      <c r="J87" s="13" t="n">
        <f aca="false">SUM((J81),(J68),(J78),(J85))</f>
        <v>183.07121822542</v>
      </c>
      <c r="K87" s="13" t="n">
        <f aca="false">SUM((K81),(K68),(K78),(K85))</f>
        <v>14.3671654676259</v>
      </c>
      <c r="L87" s="13" t="n">
        <f aca="false">SUM((L81),(L68),(L78),(L85))</f>
        <v>0.490167865707434</v>
      </c>
      <c r="M87" s="13" t="n">
        <f aca="false">SUM((M81),(M68),(M78),(M85))</f>
        <v>0.490167865707434</v>
      </c>
    </row>
    <row r="88" customFormat="false" ht="15" hidden="false" customHeight="false" outlineLevel="0" collapsed="false">
      <c r="D88" s="24"/>
      <c r="E88" s="24"/>
      <c r="F88" s="24"/>
      <c r="G88" s="24"/>
      <c r="H88" s="24" t="s">
        <v>79</v>
      </c>
      <c r="I88" s="24" t="n">
        <f aca="false">(I87)/($I$87)</f>
        <v>1</v>
      </c>
      <c r="J88" s="24" t="n">
        <f aca="false">(J87)/($I$87)</f>
        <v>1.78341365707656</v>
      </c>
      <c r="K88" s="24" t="n">
        <f aca="false">(K87)/($I$87)</f>
        <v>0.139959734560204</v>
      </c>
      <c r="L88" s="24" t="n">
        <f aca="false">(L87)/($I$87)</f>
        <v>0.00477503823067546</v>
      </c>
      <c r="M88" s="24" t="n">
        <f aca="false">(M87)/($I$87)</f>
        <v>0.00477503823067546</v>
      </c>
    </row>
  </sheetData>
  <mergeCells count="1">
    <mergeCell ref="B1:C1"/>
  </mergeCells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59"/>
  <sheetViews>
    <sheetView showFormulas="false" showGridLines="true" showRowColHeaders="true" showZeros="true" rightToLeft="false" tabSelected="false" showOutlineSymbols="true" defaultGridColor="true" view="normal" topLeftCell="C1" colorId="64" zoomScale="85" zoomScaleNormal="85" zoomScalePageLayoutView="100" workbookViewId="0">
      <selection pane="topLeft" activeCell="N22" activeCellId="1" sqref="G45:J45 N22"/>
    </sheetView>
  </sheetViews>
  <sheetFormatPr defaultColWidth="10.5390625" defaultRowHeight="15" zeroHeight="false" outlineLevelRow="0" outlineLevelCol="0"/>
  <cols>
    <col collapsed="false" customWidth="true" hidden="false" outlineLevel="0" max="1" min="1" style="0" width="24.85"/>
    <col collapsed="false" customWidth="true" hidden="false" outlineLevel="0" max="2" min="2" style="0" width="19.28"/>
    <col collapsed="false" customWidth="true" hidden="false" outlineLevel="0" max="3" min="3" style="0" width="21.15"/>
    <col collapsed="false" customWidth="true" hidden="false" outlineLevel="0" max="4" min="4" style="0" width="19.71"/>
    <col collapsed="false" customWidth="true" hidden="false" outlineLevel="0" max="5" min="5" style="0" width="21"/>
    <col collapsed="false" customWidth="true" hidden="false" outlineLevel="0" max="6" min="6" style="0" width="19.28"/>
    <col collapsed="false" customWidth="true" hidden="false" outlineLevel="0" max="7" min="7" style="0" width="24.85"/>
    <col collapsed="false" customWidth="true" hidden="false" outlineLevel="0" max="8" min="8" style="0" width="26.15"/>
    <col collapsed="false" customWidth="true" hidden="false" outlineLevel="0" max="9" min="9" style="0" width="29.72"/>
    <col collapsed="false" customWidth="true" hidden="false" outlineLevel="0" max="10" min="10" style="0" width="19.14"/>
  </cols>
  <sheetData>
    <row r="1" customFormat="false" ht="45" hidden="false" customHeight="true" outlineLevel="0" collapsed="false">
      <c r="A1" s="35" t="s">
        <v>212</v>
      </c>
      <c r="B1" s="36" t="s">
        <v>119</v>
      </c>
      <c r="C1" s="36"/>
      <c r="D1" s="51" t="n">
        <f aca="false">SUM(C3:C8)</f>
        <v>104.1</v>
      </c>
      <c r="E1" s="20"/>
      <c r="F1" s="20"/>
      <c r="G1" s="20"/>
      <c r="H1" s="20"/>
      <c r="I1" s="20"/>
      <c r="J1" s="20"/>
    </row>
    <row r="2" customFormat="false" ht="63" hidden="false" customHeight="true" outlineLevel="0" collapsed="false">
      <c r="A2" s="35" t="s">
        <v>213</v>
      </c>
      <c r="B2" s="7" t="s">
        <v>121</v>
      </c>
      <c r="C2" s="38" t="s">
        <v>214</v>
      </c>
      <c r="D2" s="9" t="s">
        <v>123</v>
      </c>
      <c r="E2" s="7" t="s">
        <v>215</v>
      </c>
      <c r="F2" s="11" t="s">
        <v>216</v>
      </c>
      <c r="G2" s="9" t="s">
        <v>217</v>
      </c>
      <c r="H2" s="9" t="s">
        <v>218</v>
      </c>
      <c r="I2" s="12" t="s">
        <v>219</v>
      </c>
      <c r="J2" s="41" t="s">
        <v>171</v>
      </c>
      <c r="K2" s="13" t="s">
        <v>220</v>
      </c>
    </row>
    <row r="3" customFormat="false" ht="15" hidden="false" customHeight="false" outlineLevel="0" collapsed="false">
      <c r="A3" s="20" t="s">
        <v>221</v>
      </c>
      <c r="B3" s="19"/>
      <c r="C3" s="52" t="n">
        <v>14.2</v>
      </c>
      <c r="D3" s="53" t="n">
        <f aca="false">(C3)/($D$1)</f>
        <v>0.13640730067243</v>
      </c>
      <c r="E3" s="54" t="n">
        <v>203.19</v>
      </c>
      <c r="F3" s="52" t="n">
        <v>14.2</v>
      </c>
      <c r="G3" s="19" t="n">
        <f aca="false">(F3)/($F$10)</f>
        <v>0.160997732426304</v>
      </c>
      <c r="H3" s="52" t="n">
        <f aca="false">(E3)* (G3)</f>
        <v>32.7131292517007</v>
      </c>
      <c r="I3" s="55" t="n">
        <f aca="false">(H3)*1/($H$10)</f>
        <v>0.216289895823783</v>
      </c>
      <c r="J3" s="20" t="s">
        <v>222</v>
      </c>
      <c r="K3" s="31" t="n">
        <f aca="false">((I3)*('Elemental Equation'!$E$6)*1000)/(E3)</f>
        <v>0.173934588206143</v>
      </c>
    </row>
    <row r="4" customFormat="false" ht="15" hidden="false" customHeight="false" outlineLevel="0" collapsed="false">
      <c r="A4" s="20" t="s">
        <v>223</v>
      </c>
      <c r="B4" s="19"/>
      <c r="C4" s="52" t="n">
        <v>0</v>
      </c>
      <c r="D4" s="53" t="n">
        <f aca="false">(C4)/($D$1)</f>
        <v>0</v>
      </c>
      <c r="E4" s="54" t="n">
        <v>0</v>
      </c>
      <c r="F4" s="52" t="n">
        <v>0</v>
      </c>
      <c r="G4" s="19" t="n">
        <f aca="false">(F4)/($F$10)</f>
        <v>0</v>
      </c>
      <c r="H4" s="19" t="n">
        <f aca="false">(E4)* (G4)</f>
        <v>0</v>
      </c>
      <c r="I4" s="55" t="n">
        <f aca="false">(H4)*1/($H$10)</f>
        <v>0</v>
      </c>
      <c r="J4" s="20" t="s">
        <v>152</v>
      </c>
      <c r="K4" s="31"/>
    </row>
    <row r="5" customFormat="false" ht="15" hidden="false" customHeight="false" outlineLevel="0" collapsed="false">
      <c r="A5" s="20" t="s">
        <v>3</v>
      </c>
      <c r="B5" s="19"/>
      <c r="C5" s="19" t="n">
        <v>15.9</v>
      </c>
      <c r="D5" s="53" t="n">
        <f aca="false">(C5)/($D$1)</f>
        <v>0.152737752161383</v>
      </c>
      <c r="E5" s="54" t="n">
        <v>0</v>
      </c>
      <c r="F5" s="19" t="n">
        <v>0</v>
      </c>
      <c r="G5" s="19" t="n">
        <f aca="false">(F5)/($F$10)</f>
        <v>0</v>
      </c>
      <c r="H5" s="19" t="n">
        <f aca="false">(E5)* (G5)</f>
        <v>0</v>
      </c>
      <c r="I5" s="55" t="n">
        <f aca="false">(H5)*1/($H$10)</f>
        <v>0</v>
      </c>
      <c r="J5" s="20" t="s">
        <v>152</v>
      </c>
      <c r="K5" s="31"/>
    </row>
    <row r="6" customFormat="false" ht="15" hidden="false" customHeight="false" outlineLevel="0" collapsed="false">
      <c r="A6" s="20" t="s">
        <v>224</v>
      </c>
      <c r="B6" s="19"/>
      <c r="C6" s="52" t="n">
        <v>0</v>
      </c>
      <c r="D6" s="53" t="n">
        <f aca="false">(C6)/($D$1)</f>
        <v>0</v>
      </c>
      <c r="E6" s="56" t="n">
        <v>0</v>
      </c>
      <c r="F6" s="52" t="n">
        <v>0</v>
      </c>
      <c r="G6" s="19" t="n">
        <f aca="false">(F6)/($F$10)</f>
        <v>0</v>
      </c>
      <c r="H6" s="19" t="n">
        <f aca="false">(E6)* (G6)</f>
        <v>0</v>
      </c>
      <c r="I6" s="55" t="n">
        <f aca="false">(H6)*1/($H$10)</f>
        <v>0</v>
      </c>
      <c r="J6" s="20" t="s">
        <v>152</v>
      </c>
      <c r="K6" s="31"/>
    </row>
    <row r="7" customFormat="false" ht="15" hidden="false" customHeight="false" outlineLevel="0" collapsed="false">
      <c r="A7" s="20" t="s">
        <v>225</v>
      </c>
      <c r="B7" s="19"/>
      <c r="C7" s="19" t="n">
        <v>0.9</v>
      </c>
      <c r="D7" s="53" t="n">
        <f aca="false">(C7)/($D$1)</f>
        <v>0.00864553314121038</v>
      </c>
      <c r="E7" s="56" t="n">
        <v>94.971</v>
      </c>
      <c r="F7" s="19" t="n">
        <v>0.9</v>
      </c>
      <c r="G7" s="19" t="n">
        <f aca="false">(F7)/($F$10)</f>
        <v>0.0102040816326531</v>
      </c>
      <c r="H7" s="19" t="n">
        <f aca="false">(E7)* (G7)</f>
        <v>0.969091836734694</v>
      </c>
      <c r="I7" s="55" t="n">
        <f aca="false">(H7)*1/($H$10)</f>
        <v>0.00640735928373863</v>
      </c>
      <c r="J7" s="20" t="s">
        <v>226</v>
      </c>
      <c r="K7" s="31" t="n">
        <f aca="false">((I7)*('Elemental Equation'!$E$6)*1000)/(E7)</f>
        <v>0.011024023196164</v>
      </c>
    </row>
    <row r="8" customFormat="false" ht="15" hidden="false" customHeight="false" outlineLevel="0" collapsed="false">
      <c r="A8" s="20" t="s">
        <v>227</v>
      </c>
      <c r="B8" s="20"/>
      <c r="C8" s="19" t="n">
        <v>73.1</v>
      </c>
      <c r="D8" s="53" t="n">
        <f aca="false">(C8)/($D$1)</f>
        <v>0.702209414024976</v>
      </c>
      <c r="E8" s="54" t="n">
        <f aca="false">(H22)</f>
        <v>141.849323076923</v>
      </c>
      <c r="F8" s="19" t="n">
        <v>73.1</v>
      </c>
      <c r="G8" s="19" t="n">
        <f aca="false">(F8)/($F$10)</f>
        <v>0.828798185941043</v>
      </c>
      <c r="H8" s="19" t="n">
        <f aca="false">(E8)* (G8)</f>
        <v>117.564461643119</v>
      </c>
      <c r="I8" s="55" t="n">
        <f aca="false">(H8)*1/($H$10)</f>
        <v>0.777302744892478</v>
      </c>
      <c r="J8" s="20"/>
      <c r="K8" s="31" t="n">
        <f aca="false">((I8)*('Elemental Equation'!$E$6)*1000)/(E8)</f>
        <v>0.895395661821765</v>
      </c>
    </row>
    <row r="9" customFormat="false" ht="15" hidden="false" customHeight="false" outlineLevel="0" collapsed="false">
      <c r="A9" s="20"/>
      <c r="B9" s="19"/>
      <c r="C9" s="52"/>
      <c r="D9" s="52"/>
      <c r="E9" s="52"/>
      <c r="F9" s="52"/>
      <c r="G9" s="19"/>
      <c r="H9" s="52"/>
      <c r="I9" s="20"/>
      <c r="J9" s="20"/>
    </row>
    <row r="10" customFormat="false" ht="30" hidden="false" customHeight="false" outlineLevel="0" collapsed="false">
      <c r="A10" s="20"/>
      <c r="B10" s="19"/>
      <c r="C10" s="52"/>
      <c r="D10" s="19"/>
      <c r="E10" s="19" t="s">
        <v>138</v>
      </c>
      <c r="F10" s="52" t="n">
        <f aca="false">SUM(F3:F9)</f>
        <v>88.2</v>
      </c>
      <c r="G10" s="19" t="s">
        <v>228</v>
      </c>
      <c r="H10" s="52" t="n">
        <f aca="false">SUM(H3:H9)</f>
        <v>151.246682731554</v>
      </c>
      <c r="I10" s="47" t="n">
        <f aca="false">SUM(I3:I8)</f>
        <v>1</v>
      </c>
      <c r="J10" s="47"/>
      <c r="K10" s="57" t="n">
        <f aca="false">SUM(K3:K8)</f>
        <v>1.08035427322407</v>
      </c>
    </row>
    <row r="13" customFormat="false" ht="105" hidden="false" customHeight="false" outlineLevel="0" collapsed="false">
      <c r="A13" s="35" t="s">
        <v>229</v>
      </c>
      <c r="B13" s="7" t="s">
        <v>141</v>
      </c>
      <c r="C13" s="38" t="s">
        <v>230</v>
      </c>
      <c r="D13" s="9" t="s">
        <v>142</v>
      </c>
      <c r="E13" s="7" t="s">
        <v>231</v>
      </c>
      <c r="F13" s="11" t="s">
        <v>216</v>
      </c>
      <c r="G13" s="9" t="s">
        <v>217</v>
      </c>
      <c r="H13" s="9" t="s">
        <v>232</v>
      </c>
      <c r="I13" s="9" t="s">
        <v>233</v>
      </c>
      <c r="J13" s="12" t="s">
        <v>234</v>
      </c>
      <c r="K13" s="41" t="s">
        <v>235</v>
      </c>
    </row>
    <row r="14" customFormat="false" ht="15" hidden="false" customHeight="false" outlineLevel="0" collapsed="false">
      <c r="A14" s="13" t="s">
        <v>236</v>
      </c>
      <c r="B14" s="42"/>
      <c r="C14" s="21" t="n">
        <v>23</v>
      </c>
      <c r="D14" s="13" t="n">
        <f aca="false">(C14)/($C$21)</f>
        <v>0.23</v>
      </c>
      <c r="E14" s="24" t="n">
        <f aca="false">150.13 - 36</f>
        <v>114.13</v>
      </c>
      <c r="F14" s="21" t="n">
        <v>0</v>
      </c>
      <c r="G14" s="13" t="n">
        <f aca="false">(F14)/($F$21)</f>
        <v>0</v>
      </c>
      <c r="H14" s="13" t="n">
        <f aca="false">(E14)* (G14)</f>
        <v>0</v>
      </c>
      <c r="I14" s="0" t="n">
        <f aca="false">(H14)* ($G$8)</f>
        <v>0</v>
      </c>
      <c r="J14" s="32" t="n">
        <f aca="false">(I14)*1/($H$10)</f>
        <v>0</v>
      </c>
      <c r="K14" s="0" t="s">
        <v>152</v>
      </c>
    </row>
    <row r="15" customFormat="false" ht="15" hidden="false" customHeight="false" outlineLevel="0" collapsed="false">
      <c r="A15" s="0" t="s">
        <v>237</v>
      </c>
      <c r="B15" s="42"/>
      <c r="C15" s="21" t="n">
        <v>23</v>
      </c>
      <c r="D15" s="13" t="n">
        <f aca="false">(C15)/($C$21)</f>
        <v>0.23</v>
      </c>
      <c r="E15" s="43" t="n">
        <f aca="false">180.16-36</f>
        <v>144.16</v>
      </c>
      <c r="F15" s="21" t="n">
        <v>23</v>
      </c>
      <c r="G15" s="13" t="n">
        <f aca="false">(F15)/($F$21)</f>
        <v>0.353846153846154</v>
      </c>
      <c r="H15" s="13" t="n">
        <f aca="false">(E15)* (G15)</f>
        <v>51.0104615384615</v>
      </c>
      <c r="I15" s="29" t="n">
        <f aca="false">(H15)* ($G$8)</f>
        <v>42.2773779870923</v>
      </c>
      <c r="J15" s="32" t="n">
        <f aca="false">(I15)*1/($H$10)</f>
        <v>0.279525985122793</v>
      </c>
      <c r="K15" s="0" t="s">
        <v>238</v>
      </c>
      <c r="L15" s="58" t="n">
        <f aca="false">((J15)*('Elemental Equation'!$E$6)*1000)/(E15)</f>
        <v>0.316832311106163</v>
      </c>
    </row>
    <row r="16" customFormat="false" ht="15" hidden="false" customHeight="false" outlineLevel="0" collapsed="false">
      <c r="A16" s="13" t="s">
        <v>239</v>
      </c>
      <c r="B16" s="42"/>
      <c r="C16" s="19" t="n">
        <v>11</v>
      </c>
      <c r="D16" s="13" t="n">
        <f aca="false">(C16)/($C$21)</f>
        <v>0.11</v>
      </c>
      <c r="E16" s="44" t="n">
        <f aca="false">180.156-36</f>
        <v>144.156</v>
      </c>
      <c r="F16" s="19" t="n">
        <v>11</v>
      </c>
      <c r="G16" s="13" t="n">
        <f aca="false">(F16)/($F$21)</f>
        <v>0.169230769230769</v>
      </c>
      <c r="H16" s="13" t="n">
        <f aca="false">(E16)* (G16)</f>
        <v>24.3956307692308</v>
      </c>
      <c r="I16" s="29" t="n">
        <f aca="false">(H16)* ($G$8)</f>
        <v>20.219054526426</v>
      </c>
      <c r="J16" s="32" t="n">
        <f aca="false">(I16)*1/($H$10)</f>
        <v>0.133682631322979</v>
      </c>
      <c r="K16" s="0" t="s">
        <v>240</v>
      </c>
      <c r="L16" s="58" t="n">
        <f aca="false">((J16)*('Elemental Equation'!$E$6)*1000)/(E16)</f>
        <v>0.151528496615991</v>
      </c>
    </row>
    <row r="17" customFormat="false" ht="15" hidden="false" customHeight="false" outlineLevel="0" collapsed="false">
      <c r="A17" s="13" t="s">
        <v>241</v>
      </c>
      <c r="B17" s="42"/>
      <c r="C17" s="19" t="n">
        <v>26</v>
      </c>
      <c r="D17" s="13" t="n">
        <f aca="false">(C17)/($C$21)</f>
        <v>0.26</v>
      </c>
      <c r="E17" s="13" t="n">
        <f aca="false">180.16-36</f>
        <v>144.16</v>
      </c>
      <c r="F17" s="19" t="n">
        <v>26</v>
      </c>
      <c r="G17" s="13" t="n">
        <f aca="false">(F17)/($F$21)</f>
        <v>0.4</v>
      </c>
      <c r="H17" s="13" t="n">
        <f aca="false">(E17)* (G17)</f>
        <v>57.664</v>
      </c>
      <c r="I17" s="29" t="n">
        <f aca="false">(H17)* ($G$8)</f>
        <v>47.7918185941043</v>
      </c>
      <c r="J17" s="32" t="n">
        <f aca="false">(I17)*1/($H$10)</f>
        <v>0.315985896225766</v>
      </c>
      <c r="K17" s="0" t="s">
        <v>242</v>
      </c>
      <c r="L17" s="58" t="n">
        <f aca="false">((J17)*('Elemental Equation'!$E$6)*1000)/(E17)</f>
        <v>0.358158264728706</v>
      </c>
    </row>
    <row r="18" customFormat="false" ht="15" hidden="false" customHeight="false" outlineLevel="0" collapsed="false">
      <c r="A18" s="13" t="s">
        <v>243</v>
      </c>
      <c r="B18" s="42"/>
      <c r="C18" s="21" t="n">
        <v>5</v>
      </c>
      <c r="D18" s="13" t="n">
        <f aca="false">(C18)/($C$21)</f>
        <v>0.05</v>
      </c>
      <c r="E18" s="59" t="n">
        <f aca="false">150.13-36</f>
        <v>114.13</v>
      </c>
      <c r="F18" s="21" t="n">
        <v>5</v>
      </c>
      <c r="G18" s="13" t="n">
        <f aca="false">(F18)/($F$21)</f>
        <v>0.0769230769230769</v>
      </c>
      <c r="H18" s="13" t="n">
        <f aca="false">(E18)* (G18)</f>
        <v>8.77923076923077</v>
      </c>
      <c r="I18" s="29" t="n">
        <f aca="false">(H18)* ($G$8)</f>
        <v>7.27621053549625</v>
      </c>
      <c r="J18" s="32" t="n">
        <f aca="false">(I18)*1/($H$10)</f>
        <v>0.0481082322209387</v>
      </c>
      <c r="K18" s="0" t="s">
        <v>244</v>
      </c>
      <c r="L18" s="58" t="n">
        <f aca="false">((J18)*('Elemental Equation'!$E$6)*1000)/(E18)</f>
        <v>0.068876589370905</v>
      </c>
    </row>
    <row r="19" customFormat="false" ht="15" hidden="false" customHeight="false" outlineLevel="0" collapsed="false">
      <c r="A19" s="13" t="s">
        <v>245</v>
      </c>
      <c r="B19" s="42"/>
      <c r="C19" s="21" t="n">
        <v>6</v>
      </c>
      <c r="D19" s="13" t="n">
        <f aca="false">(C19)/($C$21)</f>
        <v>0.06</v>
      </c>
      <c r="E19" s="13" t="n">
        <f aca="false">150.13 -36</f>
        <v>114.13</v>
      </c>
      <c r="F19" s="21" t="n">
        <v>0</v>
      </c>
      <c r="G19" s="13" t="n">
        <f aca="false">(F19)/($F$21)</f>
        <v>0</v>
      </c>
      <c r="H19" s="13" t="n">
        <f aca="false">(E19)* (G19)</f>
        <v>0</v>
      </c>
      <c r="I19" s="0" t="n">
        <f aca="false">(H19)* ($G$8)</f>
        <v>0</v>
      </c>
      <c r="J19" s="32" t="n">
        <f aca="false">(I19)*1/($H$10)</f>
        <v>0</v>
      </c>
      <c r="K19" s="0" t="s">
        <v>152</v>
      </c>
    </row>
    <row r="20" customFormat="false" ht="15" hidden="false" customHeight="false" outlineLevel="0" collapsed="false">
      <c r="A20" s="13" t="s">
        <v>246</v>
      </c>
      <c r="B20" s="42"/>
      <c r="C20" s="21" t="n">
        <v>6</v>
      </c>
      <c r="D20" s="13" t="n">
        <f aca="false">(C20)/($C$21)</f>
        <v>0.06</v>
      </c>
      <c r="E20" s="13" t="n">
        <f aca="false">164.16-36</f>
        <v>128.16</v>
      </c>
      <c r="F20" s="21" t="n">
        <v>0</v>
      </c>
      <c r="G20" s="13" t="n">
        <f aca="false">(F20)/($F$21)</f>
        <v>0</v>
      </c>
      <c r="H20" s="13" t="n">
        <f aca="false">(E20)* (G20)</f>
        <v>0</v>
      </c>
      <c r="I20" s="0" t="n">
        <f aca="false">(H20)* ($G$8)</f>
        <v>0</v>
      </c>
      <c r="J20" s="32" t="n">
        <f aca="false">(I20)*1/($H$10)</f>
        <v>0</v>
      </c>
      <c r="K20" s="0" t="s">
        <v>152</v>
      </c>
    </row>
    <row r="21" customFormat="false" ht="15" hidden="false" customHeight="false" outlineLevel="0" collapsed="false">
      <c r="A21" s="13"/>
      <c r="B21" s="0" t="s">
        <v>138</v>
      </c>
      <c r="C21" s="21" t="n">
        <f aca="false">SUM(C14:C20)</f>
        <v>100</v>
      </c>
      <c r="E21" s="0" t="s">
        <v>138</v>
      </c>
      <c r="F21" s="21" t="n">
        <f aca="false">SUM(F14:F20)</f>
        <v>65</v>
      </c>
      <c r="G21" s="13"/>
      <c r="J21" s="21"/>
    </row>
    <row r="22" customFormat="false" ht="45" hidden="false" customHeight="false" outlineLevel="0" collapsed="false">
      <c r="A22" s="13"/>
      <c r="E22" s="13"/>
      <c r="F22" s="13"/>
      <c r="G22" s="19" t="s">
        <v>247</v>
      </c>
      <c r="H22" s="21" t="n">
        <f aca="false">SUM(H14:H21)</f>
        <v>141.849323076923</v>
      </c>
      <c r="I22" s="21" t="n">
        <f aca="false">SUM(I14:I21)</f>
        <v>117.564461643119</v>
      </c>
      <c r="J22" s="21" t="n">
        <f aca="false">SUM(J14:J21)</f>
        <v>0.777302744892478</v>
      </c>
      <c r="L22" s="47" t="n">
        <f aca="false">SUM(L15:L20)</f>
        <v>0.895395661821765</v>
      </c>
    </row>
    <row r="23" customFormat="false" ht="15" hidden="false" customHeight="false" outlineLevel="0" collapsed="false">
      <c r="B23" s="46"/>
      <c r="C23" s="21"/>
      <c r="D23" s="13"/>
      <c r="E23" s="13"/>
      <c r="F23" s="21"/>
    </row>
    <row r="24" customFormat="false" ht="15" hidden="false" customHeight="false" outlineLevel="0" collapsed="false">
      <c r="I24" s="13"/>
    </row>
    <row r="26" customFormat="false" ht="15" hidden="false" customHeight="false" outlineLevel="0" collapsed="false">
      <c r="I26" s="0" t="s">
        <v>248</v>
      </c>
    </row>
    <row r="27" customFormat="false" ht="15" hidden="false" customHeight="false" outlineLevel="0" collapsed="false">
      <c r="I27" s="0" t="s">
        <v>249</v>
      </c>
    </row>
    <row r="33" customFormat="false" ht="45" hidden="false" customHeight="false" outlineLevel="0" collapsed="false">
      <c r="C33" s="16" t="s">
        <v>68</v>
      </c>
      <c r="D33" s="16" t="s">
        <v>69</v>
      </c>
      <c r="E33" s="16" t="s">
        <v>70</v>
      </c>
      <c r="F33" s="16" t="s">
        <v>71</v>
      </c>
      <c r="G33" s="16" t="s">
        <v>113</v>
      </c>
      <c r="H33" s="16" t="s">
        <v>73</v>
      </c>
      <c r="I33" s="16" t="s">
        <v>74</v>
      </c>
      <c r="J33" s="16" t="s">
        <v>75</v>
      </c>
      <c r="K33" s="16" t="s">
        <v>76</v>
      </c>
      <c r="L33" s="16" t="s">
        <v>96</v>
      </c>
    </row>
    <row r="34" customFormat="false" ht="15" hidden="false" customHeight="false" outlineLevel="0" collapsed="false">
      <c r="B34" s="0" t="s">
        <v>250</v>
      </c>
      <c r="C34" s="19" t="n">
        <v>6</v>
      </c>
      <c r="D34" s="19" t="n">
        <v>12</v>
      </c>
      <c r="E34" s="19" t="n">
        <v>6</v>
      </c>
      <c r="F34" s="23" t="n">
        <v>0</v>
      </c>
      <c r="G34" s="19" t="n">
        <v>0</v>
      </c>
      <c r="H34" s="24" t="n">
        <f aca="false">(C34)*($D15)</f>
        <v>1.38</v>
      </c>
      <c r="I34" s="24" t="n">
        <f aca="false">(D34)*($D$15)</f>
        <v>2.76</v>
      </c>
      <c r="J34" s="24" t="n">
        <f aca="false">(E34)*($D$15)</f>
        <v>1.38</v>
      </c>
      <c r="K34" s="24" t="n">
        <f aca="false">(F34)*($D$15)</f>
        <v>0</v>
      </c>
      <c r="L34" s="24" t="n">
        <f aca="false">(G34)*($D$15)</f>
        <v>0</v>
      </c>
    </row>
    <row r="35" customFormat="false" ht="15" hidden="false" customHeight="false" outlineLevel="0" collapsed="false">
      <c r="B35" s="0" t="s">
        <v>240</v>
      </c>
      <c r="C35" s="19" t="n">
        <v>6</v>
      </c>
      <c r="D35" s="19" t="n">
        <v>12</v>
      </c>
      <c r="E35" s="19" t="n">
        <v>6</v>
      </c>
      <c r="F35" s="23" t="n">
        <v>0</v>
      </c>
      <c r="G35" s="19" t="n">
        <v>0</v>
      </c>
      <c r="H35" s="24" t="n">
        <f aca="false">(C35)*($D16)</f>
        <v>0.66</v>
      </c>
      <c r="I35" s="24" t="n">
        <f aca="false">(D35)*($D$15)</f>
        <v>2.76</v>
      </c>
      <c r="J35" s="24" t="n">
        <f aca="false">(E35)*($D$15)</f>
        <v>1.38</v>
      </c>
      <c r="K35" s="24" t="n">
        <f aca="false">(F35)*($D$15)</f>
        <v>0</v>
      </c>
      <c r="L35" s="24" t="n">
        <f aca="false">(G35)*($D$15)</f>
        <v>0</v>
      </c>
    </row>
    <row r="36" customFormat="false" ht="15" hidden="false" customHeight="false" outlineLevel="0" collapsed="false">
      <c r="B36" s="0" t="s">
        <v>242</v>
      </c>
      <c r="C36" s="19" t="n">
        <v>6</v>
      </c>
      <c r="D36" s="19" t="n">
        <v>12</v>
      </c>
      <c r="E36" s="19" t="n">
        <v>6</v>
      </c>
      <c r="F36" s="23" t="n">
        <v>0</v>
      </c>
      <c r="G36" s="19" t="n">
        <v>0</v>
      </c>
      <c r="H36" s="24" t="n">
        <f aca="false">(C36)*($D17)</f>
        <v>1.56</v>
      </c>
      <c r="I36" s="24" t="n">
        <f aca="false">(D36)*($D$15)</f>
        <v>2.76</v>
      </c>
      <c r="J36" s="24" t="n">
        <f aca="false">(E36)*($D$15)</f>
        <v>1.38</v>
      </c>
      <c r="K36" s="24" t="n">
        <f aca="false">(F36)*($D$15)</f>
        <v>0</v>
      </c>
      <c r="L36" s="24" t="n">
        <f aca="false">(G36)*($D$15)</f>
        <v>0</v>
      </c>
    </row>
    <row r="37" customFormat="false" ht="15" hidden="false" customHeight="false" outlineLevel="0" collapsed="false">
      <c r="B37" s="0" t="s">
        <v>244</v>
      </c>
      <c r="C37" s="19" t="n">
        <v>5</v>
      </c>
      <c r="D37" s="19" t="n">
        <v>10</v>
      </c>
      <c r="E37" s="19" t="n">
        <v>5</v>
      </c>
      <c r="F37" s="23" t="n">
        <v>0</v>
      </c>
      <c r="G37" s="19" t="n">
        <v>0</v>
      </c>
      <c r="H37" s="24" t="n">
        <f aca="false">(C37)*($D18)</f>
        <v>0.25</v>
      </c>
      <c r="I37" s="24" t="n">
        <f aca="false">(D37)*($D$15)</f>
        <v>2.3</v>
      </c>
      <c r="J37" s="24" t="n">
        <f aca="false">(E37)*($D$15)</f>
        <v>1.15</v>
      </c>
      <c r="K37" s="24" t="n">
        <f aca="false">(F37)*($D$15)</f>
        <v>0</v>
      </c>
      <c r="L37" s="24" t="n">
        <f aca="false">(G37)*($D$15)</f>
        <v>0</v>
      </c>
    </row>
    <row r="38" customFormat="false" ht="15" hidden="false" customHeight="false" outlineLevel="0" collapsed="false">
      <c r="B38" s="13" t="s">
        <v>251</v>
      </c>
      <c r="C38" s="19" t="n">
        <f aca="false">SUM(C34:C37)</f>
        <v>23</v>
      </c>
      <c r="D38" s="19" t="n">
        <f aca="false">SUM(D34:D37)</f>
        <v>46</v>
      </c>
      <c r="E38" s="19" t="n">
        <f aca="false">SUM(E34:E37)</f>
        <v>23</v>
      </c>
      <c r="F38" s="19" t="n">
        <f aca="false">SUM(F34:F37)</f>
        <v>0</v>
      </c>
      <c r="G38" s="19" t="n">
        <f aca="false">SUM(G34:G37)</f>
        <v>0</v>
      </c>
      <c r="H38" s="24" t="n">
        <f aca="false">($G$8)*SUM(H34:H37)</f>
        <v>3.19087301587302</v>
      </c>
      <c r="I38" s="24" t="n">
        <f aca="false">($G$8)*SUM(I34:I37)</f>
        <v>8.76868480725624</v>
      </c>
      <c r="J38" s="24" t="n">
        <f aca="false">($G$8)*SUM(J34:J37)</f>
        <v>4.38434240362812</v>
      </c>
      <c r="K38" s="24" t="n">
        <f aca="false">($G$8)*SUM(K34:K37)</f>
        <v>0</v>
      </c>
      <c r="L38" s="24" t="n">
        <f aca="false">($G$7)*SUM(L34:L37)</f>
        <v>0</v>
      </c>
    </row>
    <row r="41" customFormat="false" ht="15" hidden="false" customHeight="false" outlineLevel="0" collapsed="false">
      <c r="C41" s="19"/>
      <c r="D41" s="19"/>
      <c r="E41" s="19"/>
      <c r="F41" s="23"/>
      <c r="G41" s="19"/>
      <c r="H41" s="24"/>
      <c r="I41" s="24"/>
      <c r="J41" s="24"/>
      <c r="K41" s="24"/>
      <c r="L41" s="24"/>
    </row>
    <row r="42" customFormat="false" ht="15" hidden="false" customHeight="false" outlineLevel="0" collapsed="false">
      <c r="C42" s="19"/>
      <c r="D42" s="19"/>
      <c r="E42" s="19"/>
      <c r="F42" s="23"/>
      <c r="G42" s="19"/>
      <c r="H42" s="24"/>
      <c r="I42" s="24"/>
      <c r="J42" s="24"/>
      <c r="K42" s="24"/>
      <c r="L42" s="24"/>
    </row>
    <row r="43" customFormat="false" ht="15" hidden="false" customHeight="false" outlineLevel="0" collapsed="false">
      <c r="C43" s="19"/>
      <c r="D43" s="19"/>
      <c r="E43" s="19"/>
      <c r="F43" s="23"/>
      <c r="G43" s="19"/>
      <c r="H43" s="24"/>
      <c r="I43" s="24"/>
      <c r="J43" s="24"/>
      <c r="K43" s="24"/>
      <c r="L43" s="24"/>
    </row>
    <row r="44" customFormat="false" ht="15" hidden="false" customHeight="false" outlineLevel="0" collapsed="false">
      <c r="C44" s="19"/>
      <c r="D44" s="19"/>
      <c r="E44" s="19"/>
      <c r="F44" s="23"/>
      <c r="G44" s="19"/>
      <c r="H44" s="24"/>
      <c r="I44" s="24"/>
      <c r="J44" s="24"/>
      <c r="K44" s="24"/>
      <c r="L44" s="24"/>
    </row>
    <row r="45" customFormat="false" ht="15" hidden="false" customHeight="false" outlineLevel="0" collapsed="false">
      <c r="C45" s="19"/>
      <c r="D45" s="19"/>
      <c r="E45" s="19"/>
      <c r="F45" s="23"/>
      <c r="G45" s="19"/>
      <c r="H45" s="24"/>
      <c r="I45" s="24"/>
      <c r="J45" s="24"/>
      <c r="K45" s="24"/>
      <c r="L45" s="24"/>
    </row>
    <row r="46" customFormat="false" ht="15" hidden="false" customHeight="false" outlineLevel="0" collapsed="false">
      <c r="B46" s="13"/>
      <c r="C46" s="19"/>
      <c r="D46" s="19"/>
      <c r="E46" s="19"/>
      <c r="F46" s="19"/>
      <c r="G46" s="19"/>
      <c r="H46" s="24"/>
      <c r="I46" s="24"/>
      <c r="J46" s="24"/>
      <c r="K46" s="24"/>
      <c r="L46" s="24"/>
    </row>
    <row r="49" customFormat="false" ht="15" hidden="false" customHeight="false" outlineLevel="0" collapsed="false">
      <c r="B49" s="20" t="s">
        <v>222</v>
      </c>
      <c r="C49" s="19" t="n">
        <v>8</v>
      </c>
      <c r="D49" s="19" t="n">
        <v>13</v>
      </c>
      <c r="E49" s="19" t="n">
        <v>5</v>
      </c>
      <c r="F49" s="23" t="n">
        <v>1</v>
      </c>
      <c r="G49" s="19" t="n">
        <v>0</v>
      </c>
      <c r="H49" s="24" t="n">
        <f aca="false">(C49)*($G$3)</f>
        <v>1.28798185941043</v>
      </c>
      <c r="I49" s="24" t="n">
        <f aca="false">(D49)*($G$3)</f>
        <v>2.09297052154195</v>
      </c>
      <c r="J49" s="24" t="n">
        <f aca="false">(E49)*($G$3)</f>
        <v>0.804988662131519</v>
      </c>
      <c r="K49" s="24" t="n">
        <f aca="false">(F49)*($G$3)</f>
        <v>0.160997732426304</v>
      </c>
      <c r="L49" s="24" t="n">
        <f aca="false">(G49)*($G$3)</f>
        <v>0</v>
      </c>
    </row>
    <row r="50" customFormat="false" ht="15" hidden="false" customHeight="false" outlineLevel="0" collapsed="false">
      <c r="B50" s="13"/>
      <c r="C50" s="19"/>
      <c r="D50" s="19"/>
      <c r="E50" s="19"/>
      <c r="F50" s="23"/>
      <c r="G50" s="19"/>
      <c r="H50" s="24"/>
      <c r="I50" s="24"/>
      <c r="J50" s="24"/>
      <c r="K50" s="24"/>
      <c r="L50" s="24"/>
    </row>
    <row r="51" customFormat="false" ht="15" hidden="false" customHeight="false" outlineLevel="0" collapsed="false">
      <c r="B51" s="13"/>
      <c r="C51" s="13"/>
      <c r="D51" s="13"/>
      <c r="E51" s="13"/>
      <c r="F51" s="13"/>
      <c r="G51" s="13"/>
    </row>
    <row r="52" customFormat="false" ht="15" hidden="false" customHeight="false" outlineLevel="0" collapsed="false">
      <c r="B52" s="20" t="s">
        <v>226</v>
      </c>
      <c r="C52" s="19" t="n">
        <f aca="false">SUM(C50:C51)</f>
        <v>0</v>
      </c>
      <c r="D52" s="19" t="n">
        <v>1</v>
      </c>
      <c r="E52" s="19" t="n">
        <f aca="false">SUM(E50:E51)</f>
        <v>0</v>
      </c>
      <c r="F52" s="19" t="n">
        <v>4</v>
      </c>
      <c r="G52" s="19" t="n">
        <v>1</v>
      </c>
      <c r="H52" s="24" t="n">
        <f aca="false">(C52)*($G$7)</f>
        <v>0</v>
      </c>
      <c r="I52" s="24" t="n">
        <f aca="false">(D52)*($G$7)</f>
        <v>0.0102040816326531</v>
      </c>
      <c r="J52" s="24" t="n">
        <f aca="false">(E52)*($G$7)</f>
        <v>0</v>
      </c>
      <c r="K52" s="24" t="n">
        <f aca="false">(F52)*($G$7)</f>
        <v>0.0408163265306122</v>
      </c>
      <c r="L52" s="24" t="n">
        <f aca="false">(G52)*($G$7)</f>
        <v>0.0102040816326531</v>
      </c>
    </row>
    <row r="54" customFormat="false" ht="15" hidden="false" customHeight="false" outlineLevel="0" collapsed="false">
      <c r="B54" s="13"/>
      <c r="C54" s="19"/>
      <c r="D54" s="19"/>
      <c r="E54" s="19"/>
      <c r="F54" s="23"/>
      <c r="G54" s="19"/>
      <c r="H54" s="24"/>
      <c r="I54" s="24"/>
      <c r="J54" s="24"/>
      <c r="K54" s="24"/>
      <c r="L54" s="24"/>
    </row>
    <row r="55" customFormat="false" ht="15" hidden="false" customHeight="false" outlineLevel="0" collapsed="false">
      <c r="B55" s="13"/>
      <c r="C55" s="13"/>
      <c r="D55" s="13"/>
      <c r="E55" s="13"/>
      <c r="F55" s="13"/>
      <c r="G55" s="13"/>
    </row>
    <row r="56" customFormat="false" ht="15" hidden="false" customHeight="false" outlineLevel="0" collapsed="false">
      <c r="B56" s="13"/>
      <c r="C56" s="19"/>
      <c r="D56" s="19"/>
      <c r="E56" s="19"/>
      <c r="F56" s="19"/>
      <c r="G56" s="19"/>
      <c r="H56" s="24"/>
      <c r="I56" s="24"/>
      <c r="J56" s="24"/>
      <c r="K56" s="24"/>
      <c r="L56" s="24"/>
    </row>
    <row r="58" customFormat="false" ht="45" hidden="false" customHeight="false" outlineLevel="0" collapsed="false">
      <c r="B58" s="16" t="s">
        <v>252</v>
      </c>
      <c r="C58" s="13" t="n">
        <f aca="false">SUM((C52),(C38),(C49),(C56))</f>
        <v>31</v>
      </c>
      <c r="D58" s="13" t="n">
        <f aca="false">SUM((D52),(D38),(D49),(D56))</f>
        <v>60</v>
      </c>
      <c r="E58" s="13" t="n">
        <f aca="false">SUM((E52),(E38),(E49),(E56))</f>
        <v>28</v>
      </c>
      <c r="F58" s="13" t="n">
        <f aca="false">SUM((F52),(F38),(F49),(F56))</f>
        <v>5</v>
      </c>
      <c r="G58" s="13" t="n">
        <f aca="false">SUM((G52),(G38),(G49),(G56))</f>
        <v>1</v>
      </c>
      <c r="H58" s="13" t="n">
        <f aca="false">SUM((H52),(H38),(H49))</f>
        <v>4.47885487528345</v>
      </c>
      <c r="I58" s="13" t="n">
        <f aca="false">SUM((I52),(I38),(I49))</f>
        <v>10.8718594104308</v>
      </c>
      <c r="J58" s="13" t="n">
        <f aca="false">SUM((J52),(J38),(J49))</f>
        <v>5.18933106575964</v>
      </c>
      <c r="K58" s="13" t="n">
        <f aca="false">SUM((K52),(K38),(K49))</f>
        <v>0.201814058956916</v>
      </c>
      <c r="L58" s="13" t="n">
        <f aca="false">SUM((L52),(L38),(L49))</f>
        <v>0.0102040816326531</v>
      </c>
    </row>
    <row r="59" customFormat="false" ht="15" hidden="false" customHeight="false" outlineLevel="0" collapsed="false">
      <c r="C59" s="24"/>
      <c r="D59" s="24"/>
      <c r="E59" s="24"/>
      <c r="F59" s="24"/>
      <c r="G59" s="24" t="s">
        <v>79</v>
      </c>
      <c r="H59" s="24" t="n">
        <f aca="false">(H58)/($H$58)</f>
        <v>1</v>
      </c>
      <c r="I59" s="24" t="n">
        <f aca="false">(I58)/($H$58)</f>
        <v>2.42737478957561</v>
      </c>
      <c r="J59" s="24" t="n">
        <f aca="false">(J58)/($H$58)</f>
        <v>1.15862898224208</v>
      </c>
      <c r="K59" s="24" t="n">
        <f aca="false">(K58)/($H$58)</f>
        <v>0.0450592985431671</v>
      </c>
      <c r="L59" s="24" t="n">
        <f aca="false">(L58)/($H$58)</f>
        <v>0.00227827913982305</v>
      </c>
    </row>
  </sheetData>
  <mergeCells count="1">
    <mergeCell ref="B1:C1"/>
  </mergeCells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48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G45" activeCellId="0" sqref="G45:J45"/>
    </sheetView>
  </sheetViews>
  <sheetFormatPr defaultColWidth="10.5390625" defaultRowHeight="15" zeroHeight="false" outlineLevelRow="0" outlineLevelCol="0"/>
  <cols>
    <col collapsed="false" customWidth="true" hidden="false" outlineLevel="0" max="4" min="4" style="0" width="12.85"/>
    <col collapsed="false" customWidth="true" hidden="false" outlineLevel="0" max="5" min="5" style="0" width="36"/>
    <col collapsed="false" customWidth="true" hidden="false" outlineLevel="0" max="12" min="12" style="0" width="46"/>
    <col collapsed="false" customWidth="true" hidden="false" outlineLevel="0" max="13" min="13" style="0" width="26"/>
  </cols>
  <sheetData>
    <row r="1" customFormat="false" ht="110.25" hidden="false" customHeight="true" outlineLevel="0" collapsed="false">
      <c r="A1" s="60"/>
      <c r="B1" s="60"/>
      <c r="C1" s="60"/>
      <c r="D1" s="23" t="s">
        <v>253</v>
      </c>
      <c r="E1" s="20" t="s">
        <v>254</v>
      </c>
      <c r="F1" s="24" t="s">
        <v>31</v>
      </c>
      <c r="G1" s="24" t="s">
        <v>42</v>
      </c>
      <c r="H1" s="24" t="s">
        <v>255</v>
      </c>
      <c r="I1" s="24" t="s">
        <v>256</v>
      </c>
      <c r="J1" s="24" t="s">
        <v>54</v>
      </c>
      <c r="K1" s="24" t="s">
        <v>56</v>
      </c>
      <c r="L1" s="60"/>
      <c r="M1" s="20" t="s">
        <v>257</v>
      </c>
      <c r="N1" s="24" t="s">
        <v>31</v>
      </c>
      <c r="O1" s="24" t="s">
        <v>42</v>
      </c>
      <c r="P1" s="24" t="s">
        <v>255</v>
      </c>
      <c r="Q1" s="24" t="s">
        <v>256</v>
      </c>
      <c r="R1" s="24" t="s">
        <v>54</v>
      </c>
      <c r="S1" s="24" t="s">
        <v>56</v>
      </c>
      <c r="T1" s="20" t="s">
        <v>258</v>
      </c>
      <c r="U1" s="24" t="s">
        <v>31</v>
      </c>
      <c r="V1" s="24" t="s">
        <v>42</v>
      </c>
      <c r="W1" s="24" t="s">
        <v>255</v>
      </c>
      <c r="X1" s="24" t="s">
        <v>256</v>
      </c>
      <c r="Y1" s="24" t="s">
        <v>54</v>
      </c>
      <c r="Z1" s="24" t="s">
        <v>56</v>
      </c>
    </row>
    <row r="2" customFormat="false" ht="15" hidden="false" customHeight="false" outlineLevel="0" collapsed="false">
      <c r="A2" s="0" t="s">
        <v>3</v>
      </c>
      <c r="B2" s="0" t="n">
        <v>0.3018</v>
      </c>
      <c r="C2" s="13" t="s">
        <v>152</v>
      </c>
      <c r="E2" s="0" t="n">
        <v>0.3018</v>
      </c>
      <c r="F2" s="13" t="n">
        <v>1</v>
      </c>
      <c r="G2" s="13" t="n">
        <v>2.00252955262677</v>
      </c>
      <c r="H2" s="13" t="n">
        <v>0.520292693784314</v>
      </c>
      <c r="I2" s="13" t="n">
        <v>0.288548025380642</v>
      </c>
      <c r="J2" s="13" t="n">
        <v>0</v>
      </c>
      <c r="K2" s="13" t="n">
        <v>0.00626459885785645</v>
      </c>
      <c r="M2" s="0" t="n">
        <v>0.29</v>
      </c>
      <c r="N2" s="13" t="n">
        <v>1</v>
      </c>
      <c r="O2" s="13" t="n">
        <v>2.00252955262677</v>
      </c>
      <c r="P2" s="13" t="n">
        <v>0.520292693784314</v>
      </c>
      <c r="Q2" s="13" t="n">
        <v>0.288548025380642</v>
      </c>
      <c r="R2" s="13" t="n">
        <v>0</v>
      </c>
      <c r="S2" s="13" t="n">
        <v>0.00626459885785645</v>
      </c>
      <c r="T2" s="0" t="n">
        <v>0.3001</v>
      </c>
      <c r="U2" s="13" t="n">
        <v>1</v>
      </c>
      <c r="V2" s="13" t="n">
        <v>2.00252955262677</v>
      </c>
      <c r="W2" s="13" t="n">
        <v>0.520292693784314</v>
      </c>
      <c r="X2" s="13" t="n">
        <v>0.288548025380642</v>
      </c>
      <c r="Y2" s="13" t="n">
        <v>0</v>
      </c>
      <c r="Z2" s="13" t="n">
        <v>0.00626459885785645</v>
      </c>
    </row>
    <row r="3" customFormat="false" ht="15" hidden="false" customHeight="false" outlineLevel="0" collapsed="false">
      <c r="A3" s="0" t="s">
        <v>4</v>
      </c>
      <c r="B3" s="0" t="n">
        <v>0.003</v>
      </c>
      <c r="C3" s="13" t="s">
        <v>62</v>
      </c>
      <c r="E3" s="0" t="n">
        <v>0.003</v>
      </c>
      <c r="F3" s="13" t="n">
        <v>1</v>
      </c>
      <c r="G3" s="13" t="n">
        <v>1.25694152697169</v>
      </c>
      <c r="H3" s="13" t="n">
        <v>0.616659664732057</v>
      </c>
      <c r="I3" s="13" t="n">
        <v>0.387484245647128</v>
      </c>
      <c r="J3" s="13" t="n">
        <v>0.102776610788676</v>
      </c>
      <c r="K3" s="13" t="n">
        <v>0</v>
      </c>
      <c r="M3" s="0" t="n">
        <v>0.003</v>
      </c>
      <c r="N3" s="13" t="n">
        <v>1</v>
      </c>
      <c r="O3" s="13" t="n">
        <v>1.25694152697169</v>
      </c>
      <c r="P3" s="13" t="n">
        <v>0.616659664732057</v>
      </c>
      <c r="Q3" s="13" t="n">
        <v>0.387484245647128</v>
      </c>
      <c r="R3" s="13" t="n">
        <v>0.102776610788676</v>
      </c>
      <c r="S3" s="13" t="n">
        <v>0</v>
      </c>
      <c r="T3" s="0" t="n">
        <v>0.003</v>
      </c>
      <c r="U3" s="13" t="n">
        <v>1</v>
      </c>
      <c r="V3" s="13" t="n">
        <v>1.25694152697169</v>
      </c>
      <c r="W3" s="13" t="n">
        <v>0.616659664732057</v>
      </c>
      <c r="X3" s="13" t="n">
        <v>0.387484245647128</v>
      </c>
      <c r="Y3" s="13" t="n">
        <v>0.102776610788676</v>
      </c>
      <c r="Z3" s="13" t="n">
        <v>0</v>
      </c>
    </row>
    <row r="4" customFormat="false" ht="15" hidden="false" customHeight="false" outlineLevel="0" collapsed="false">
      <c r="A4" s="0" t="s">
        <v>5</v>
      </c>
      <c r="B4" s="0" t="n">
        <v>0.1</v>
      </c>
      <c r="C4" s="13" t="s">
        <v>259</v>
      </c>
      <c r="E4" s="0" t="n">
        <v>0.1</v>
      </c>
      <c r="F4" s="13" t="n">
        <v>1</v>
      </c>
      <c r="G4" s="13" t="n">
        <v>1.23896418872747</v>
      </c>
      <c r="H4" s="13" t="n">
        <v>0.842105263157895</v>
      </c>
      <c r="I4" s="13" t="n">
        <v>0.396858925569577</v>
      </c>
      <c r="J4" s="13" t="n">
        <v>0.105263157894737</v>
      </c>
      <c r="K4" s="13" t="n">
        <v>0</v>
      </c>
      <c r="M4" s="0" t="n">
        <v>0.1</v>
      </c>
      <c r="N4" s="13" t="n">
        <v>1</v>
      </c>
      <c r="O4" s="13" t="n">
        <v>1.23896418872747</v>
      </c>
      <c r="P4" s="13" t="n">
        <v>0.842105263157895</v>
      </c>
      <c r="Q4" s="13" t="n">
        <v>0.396858925569577</v>
      </c>
      <c r="R4" s="13" t="n">
        <v>0.105263157894737</v>
      </c>
      <c r="S4" s="13" t="n">
        <v>0</v>
      </c>
      <c r="T4" s="0" t="n">
        <v>0.1</v>
      </c>
      <c r="U4" s="13" t="n">
        <v>1</v>
      </c>
      <c r="V4" s="13" t="n">
        <v>1.23896418872747</v>
      </c>
      <c r="W4" s="13" t="n">
        <v>0.842105263157895</v>
      </c>
      <c r="X4" s="13" t="n">
        <v>0.396858925569577</v>
      </c>
      <c r="Y4" s="13" t="n">
        <v>0.105263157894737</v>
      </c>
      <c r="Z4" s="13" t="n">
        <v>0</v>
      </c>
    </row>
    <row r="5" customFormat="false" ht="15" hidden="false" customHeight="false" outlineLevel="0" collapsed="false">
      <c r="A5" s="0" t="s">
        <v>260</v>
      </c>
      <c r="B5" s="0" t="n">
        <v>0.4011</v>
      </c>
      <c r="C5" s="13" t="s">
        <v>19</v>
      </c>
      <c r="E5" s="0" t="n">
        <v>0.4011</v>
      </c>
      <c r="F5" s="13" t="n">
        <v>1</v>
      </c>
      <c r="G5" s="13" t="n">
        <v>1.78341365707656</v>
      </c>
      <c r="H5" s="13" t="n">
        <v>0.139959734560204</v>
      </c>
      <c r="I5" s="13" t="n">
        <v>0.00477503823067546</v>
      </c>
      <c r="J5" s="13" t="n">
        <v>0.00477503823067546</v>
      </c>
      <c r="K5" s="13" t="n">
        <v>0</v>
      </c>
      <c r="M5" s="0" t="n">
        <v>0.4047</v>
      </c>
      <c r="N5" s="13" t="n">
        <v>1</v>
      </c>
      <c r="O5" s="13" t="n">
        <v>1.78341365707656</v>
      </c>
      <c r="P5" s="13" t="n">
        <v>0.139959734560204</v>
      </c>
      <c r="Q5" s="13" t="n">
        <v>0.00477503823067546</v>
      </c>
      <c r="R5" s="13" t="n">
        <v>0.00477503823067546</v>
      </c>
      <c r="S5" s="13" t="n">
        <v>0</v>
      </c>
      <c r="T5" s="0" t="n">
        <v>0.4023</v>
      </c>
      <c r="U5" s="13" t="n">
        <v>1</v>
      </c>
      <c r="V5" s="13" t="n">
        <v>1.78341365707656</v>
      </c>
      <c r="W5" s="13" t="n">
        <v>0.139959734560204</v>
      </c>
      <c r="X5" s="13" t="n">
        <v>0.00477503823067546</v>
      </c>
      <c r="Y5" s="13" t="n">
        <v>0.00477503823067546</v>
      </c>
      <c r="Z5" s="13" t="n">
        <v>0</v>
      </c>
    </row>
    <row r="6" customFormat="false" ht="15" hidden="false" customHeight="false" outlineLevel="0" collapsed="false">
      <c r="A6" s="0" t="s">
        <v>261</v>
      </c>
      <c r="B6" s="0" t="n">
        <v>0.1634</v>
      </c>
      <c r="C6" s="13" t="s">
        <v>262</v>
      </c>
      <c r="E6" s="0" t="n">
        <v>0.1634</v>
      </c>
      <c r="F6" s="13" t="n">
        <v>1</v>
      </c>
      <c r="G6" s="13" t="n">
        <v>2.42737478957561</v>
      </c>
      <c r="H6" s="13" t="n">
        <v>1.15862898224208</v>
      </c>
      <c r="I6" s="13" t="n">
        <v>0.0450592985431671</v>
      </c>
      <c r="J6" s="13" t="n">
        <v>0.00227827913982305</v>
      </c>
      <c r="K6" s="13" t="n">
        <v>0</v>
      </c>
      <c r="M6" s="0" t="n">
        <v>0.1653</v>
      </c>
      <c r="N6" s="13" t="n">
        <v>1</v>
      </c>
      <c r="O6" s="13" t="n">
        <v>2.42737478957561</v>
      </c>
      <c r="P6" s="13" t="n">
        <v>1.15862898224208</v>
      </c>
      <c r="Q6" s="13" t="n">
        <v>0.0450592985431671</v>
      </c>
      <c r="R6" s="13" t="n">
        <v>0.00227827913982305</v>
      </c>
      <c r="S6" s="13" t="n">
        <v>0</v>
      </c>
      <c r="T6" s="0" t="n">
        <v>0.1639</v>
      </c>
      <c r="U6" s="13" t="n">
        <v>1</v>
      </c>
      <c r="V6" s="13" t="n">
        <v>2.42737478957561</v>
      </c>
      <c r="W6" s="13" t="n">
        <v>1.15862898224208</v>
      </c>
      <c r="X6" s="13" t="n">
        <v>0.0450592985431671</v>
      </c>
      <c r="Y6" s="13" t="n">
        <v>0.00227827913982305</v>
      </c>
      <c r="Z6" s="13" t="n">
        <v>0</v>
      </c>
    </row>
    <row r="7" customFormat="false" ht="15" hidden="false" customHeight="false" outlineLevel="0" collapsed="false">
      <c r="A7" s="0" t="s">
        <v>263</v>
      </c>
      <c r="C7" s="13"/>
      <c r="E7" s="0" t="n">
        <f aca="false">1-SUM(E2:E6)</f>
        <v>0.0306999999999999</v>
      </c>
      <c r="F7" s="13"/>
      <c r="G7" s="13"/>
      <c r="H7" s="13"/>
      <c r="I7" s="13"/>
      <c r="J7" s="13"/>
      <c r="K7" s="13"/>
    </row>
    <row r="8" customFormat="false" ht="15" hidden="false" customHeight="false" outlineLevel="0" collapsed="false">
      <c r="D8" s="13"/>
      <c r="F8" s="13"/>
      <c r="G8" s="13"/>
      <c r="H8" s="13"/>
      <c r="I8" s="13"/>
      <c r="J8" s="13"/>
      <c r="K8" s="13"/>
    </row>
    <row r="9" customFormat="false" ht="50.25" hidden="false" customHeight="true" outlineLevel="0" collapsed="false">
      <c r="A9" s="0" t="s">
        <v>264</v>
      </c>
      <c r="D9" s="61" t="n">
        <f aca="false">SUM(D2:D7)</f>
        <v>0</v>
      </c>
      <c r="F9" s="13" t="n">
        <f aca="false">((F2)*($E$2))+((F3)*($E$3))+((F4)*($E$4))+((F5)*($E$5))+((F6)*($E$6))</f>
        <v>0.9693</v>
      </c>
      <c r="G9" s="13" t="n">
        <f aca="false">((G2)*($E$2))+((G3)*($E$3))+((G4)*($E$4))+((G5)*($E$5))+((G6)*($E$6))</f>
        <v>1.84399092090648</v>
      </c>
      <c r="H9" s="13" t="n">
        <f aca="false">((H2)*($E$2))+((H3)*($E$3))+((H4)*($E$4))+((H5)*($E$5))+((H6)*($E$6))</f>
        <v>0.488542665524545</v>
      </c>
      <c r="I9" s="13" t="n">
        <f aca="false">((I2)*($E$2))+((I3)*($E$3))+((I4)*($E$4))+((I5)*($E$5))+((I6)*($E$6))</f>
        <v>0.137210096570054</v>
      </c>
      <c r="J9" s="13" t="n">
        <f aca="false">((J2)*($E$2))+((J3)*($E$3))+((J4)*($E$4))+((J5)*($E$5))+((J6)*($E$6))</f>
        <v>0.0131221842676107</v>
      </c>
      <c r="K9" s="13" t="n">
        <f aca="false">((K2)*($E$2))+((K3)*($E$3))+((K4)*($E$4))+((K5)*($E$5))+((K6)*($E$6))</f>
        <v>0.00189065593530108</v>
      </c>
      <c r="L9" s="20" t="s">
        <v>265</v>
      </c>
      <c r="N9" s="13" t="n">
        <f aca="false">((N2)*($M$2))+((N3)*($M$3))+((N4)*($M$4))+((N5)*($M$5))+((N6)*($M$6))</f>
        <v>0.963</v>
      </c>
      <c r="O9" s="13" t="n">
        <f aca="false">((O2)*($M$2))+((O3)*($M$3))+((O4)*($M$4))+((O5)*($M$5))+((O6)*($M$6))</f>
        <v>1.83139337345116</v>
      </c>
      <c r="P9" s="13" t="n">
        <f aca="false">((P2)*($M$2))+((P3)*($M$3))+((P4)*($M$4))+((P5)*($M$5))+((P6)*($M$6))</f>
        <v>0.485108461848567</v>
      </c>
      <c r="Q9" s="13" t="n">
        <f aca="false">((Q2)*($M$2))+((Q3)*($M$3))+((Q4)*($M$4))+((Q5)*($M$5))+((Q6)*($M$6))</f>
        <v>0.133908032675425</v>
      </c>
      <c r="R9" s="13" t="n">
        <f aca="false">((R2)*($M$2))+((R3)*($M$3))+((R4)*($M$4))+((R5)*($M$5))+((R6)*($M$6))</f>
        <v>0.0131437031356068</v>
      </c>
      <c r="S9" s="13" t="n">
        <f aca="false">((S2)*($M$2))+((S3)*($M$3))+((S4)*($M$4))+((S5)*($M$5))+((S6)*($M$6))</f>
        <v>0.00181673366877837</v>
      </c>
      <c r="T9" s="13"/>
      <c r="U9" s="13" t="n">
        <f aca="false">((U2)*($T$2))+((U3)*($T$3))+((U4)*($T$4))+((U5)*($T$5))+((U6)*($T$6))</f>
        <v>0.9693</v>
      </c>
      <c r="V9" s="13" t="n">
        <f aca="false">((V2)*($T$2))+((V3)*($T$3))+((V4)*($T$4))+((V5)*($T$5))+((V6)*($T$6))</f>
        <v>1.8439404044503</v>
      </c>
      <c r="W9" s="13" t="n">
        <f aca="false">((W2)*($T$2))+((W3)*($T$3))+((W4)*($T$4))+((W5)*($T$5))+((W6)*($T$6))</f>
        <v>0.488405434117705</v>
      </c>
      <c r="X9" s="13" t="n">
        <f aca="false">((X2)*($T$2))+((X3)*($T$3))+((X4)*($T$4))+((X5)*($T$5))+((X6)*($T$6))</f>
        <v>0.136747824622056</v>
      </c>
      <c r="Y9" s="13" t="n">
        <f aca="false">((Y2)*($T$2))+((Y3)*($T$3))+((Y4)*($T$4))+((Y5)*($T$5))+((Y6)*($T$6))</f>
        <v>0.0131290534530575</v>
      </c>
      <c r="Z9" s="13" t="n">
        <f aca="false">((Z2)*($T$2))+((Z3)*($T$3))+((Z4)*($T$4))+((Z5)*($T$5))+((Z6)*($T$6))</f>
        <v>0.00188000611724272</v>
      </c>
    </row>
    <row r="10" customFormat="false" ht="46.5" hidden="false" customHeight="true" outlineLevel="0" collapsed="false">
      <c r="A10" s="0" t="s">
        <v>266</v>
      </c>
      <c r="F10" s="13" t="n">
        <v>0.963</v>
      </c>
      <c r="G10" s="13" t="n">
        <v>1.83139337345116</v>
      </c>
      <c r="H10" s="13" t="n">
        <v>0.485108461848567</v>
      </c>
      <c r="I10" s="13" t="n">
        <v>0.133908032675425</v>
      </c>
      <c r="J10" s="13" t="n">
        <v>0.0131437031356068</v>
      </c>
      <c r="K10" s="13" t="n">
        <v>0.00181673366877837</v>
      </c>
      <c r="M10" s="19" t="s">
        <v>267</v>
      </c>
      <c r="N10" s="13" t="s">
        <v>31</v>
      </c>
      <c r="O10" s="13" t="s">
        <v>42</v>
      </c>
      <c r="P10" s="13" t="s">
        <v>255</v>
      </c>
      <c r="Q10" s="13" t="s">
        <v>256</v>
      </c>
      <c r="R10" s="13" t="s">
        <v>54</v>
      </c>
      <c r="S10" s="13" t="s">
        <v>56</v>
      </c>
      <c r="T10" s="19" t="s">
        <v>268</v>
      </c>
      <c r="U10" s="13" t="s">
        <v>31</v>
      </c>
      <c r="V10" s="13" t="s">
        <v>42</v>
      </c>
      <c r="W10" s="13" t="s">
        <v>255</v>
      </c>
      <c r="X10" s="13" t="s">
        <v>256</v>
      </c>
      <c r="Y10" s="13" t="s">
        <v>54</v>
      </c>
      <c r="Z10" s="13" t="s">
        <v>56</v>
      </c>
    </row>
    <row r="11" customFormat="false" ht="15" hidden="false" customHeight="false" outlineLevel="0" collapsed="false">
      <c r="A11" s="0" t="s">
        <v>269</v>
      </c>
      <c r="F11" s="13" t="n">
        <v>0.9693</v>
      </c>
      <c r="G11" s="13" t="n">
        <v>1.8439404044503</v>
      </c>
      <c r="H11" s="13" t="n">
        <v>0.488405434117705</v>
      </c>
      <c r="I11" s="13" t="n">
        <v>0.136747824622056</v>
      </c>
      <c r="J11" s="13" t="n">
        <v>0.0131290534530575</v>
      </c>
      <c r="K11" s="13" t="n">
        <v>0.00188000611724272</v>
      </c>
      <c r="M11" s="0" t="n">
        <v>0.3001</v>
      </c>
      <c r="N11" s="13" t="n">
        <v>1</v>
      </c>
      <c r="O11" s="13" t="n">
        <v>2.00252955262677</v>
      </c>
      <c r="P11" s="13" t="n">
        <v>0.520292693784314</v>
      </c>
      <c r="Q11" s="13" t="n">
        <v>0.288548025380642</v>
      </c>
      <c r="R11" s="13" t="n">
        <v>0</v>
      </c>
      <c r="S11" s="13" t="n">
        <v>0.00626459885785645</v>
      </c>
      <c r="T11" s="0" t="n">
        <v>0.2974</v>
      </c>
      <c r="U11" s="13" t="n">
        <v>1</v>
      </c>
      <c r="V11" s="13" t="n">
        <v>2.00252955262677</v>
      </c>
      <c r="W11" s="13" t="n">
        <v>0.520292693784314</v>
      </c>
      <c r="X11" s="13" t="n">
        <v>0.288548025380642</v>
      </c>
      <c r="Y11" s="13" t="n">
        <v>0</v>
      </c>
      <c r="Z11" s="13" t="n">
        <v>0.00626459885785645</v>
      </c>
    </row>
    <row r="12" customFormat="false" ht="15" hidden="false" customHeight="false" outlineLevel="0" collapsed="false">
      <c r="A12" s="0" t="s">
        <v>270</v>
      </c>
      <c r="F12" s="13" t="n">
        <v>0.9693</v>
      </c>
      <c r="G12" s="13" t="n">
        <v>1.84413359279005</v>
      </c>
      <c r="H12" s="13" t="n">
        <v>0.48871103489201</v>
      </c>
      <c r="I12" s="13" t="n">
        <v>0.136759909900149</v>
      </c>
      <c r="J12" s="13" t="n">
        <v>0.0131283044253302</v>
      </c>
      <c r="K12" s="13" t="n">
        <v>0.00188000611724272</v>
      </c>
      <c r="M12" s="0" t="n">
        <v>0.003</v>
      </c>
      <c r="N12" s="13" t="n">
        <v>1</v>
      </c>
      <c r="O12" s="13" t="n">
        <v>1.25694152697169</v>
      </c>
      <c r="P12" s="13" t="n">
        <v>0.616659664732057</v>
      </c>
      <c r="Q12" s="13" t="n">
        <v>0.387484245647128</v>
      </c>
      <c r="R12" s="13" t="n">
        <v>0.102776610788676</v>
      </c>
      <c r="S12" s="13" t="n">
        <v>0</v>
      </c>
      <c r="T12" s="0" t="n">
        <v>0.003</v>
      </c>
      <c r="U12" s="13" t="n">
        <v>1</v>
      </c>
      <c r="V12" s="13" t="n">
        <v>1.25694152697169</v>
      </c>
      <c r="W12" s="13" t="n">
        <v>0.616659664732057</v>
      </c>
      <c r="X12" s="13" t="n">
        <v>0.387484245647128</v>
      </c>
      <c r="Y12" s="13" t="n">
        <v>0.102776610788676</v>
      </c>
      <c r="Z12" s="13" t="n">
        <v>0</v>
      </c>
    </row>
    <row r="13" customFormat="false" ht="15" hidden="false" customHeight="false" outlineLevel="0" collapsed="false">
      <c r="A13" s="0" t="s">
        <v>271</v>
      </c>
      <c r="F13" s="13" t="n">
        <v>0.9691</v>
      </c>
      <c r="G13" s="13" t="n">
        <v>1.8440224466129</v>
      </c>
      <c r="H13" s="13" t="n">
        <v>0.488980413977179</v>
      </c>
      <c r="I13" s="13" t="n">
        <v>0.136045137365604</v>
      </c>
      <c r="J13" s="13" t="n">
        <v>0.0131369962340888</v>
      </c>
      <c r="K13" s="13" t="n">
        <v>0.00186309170032651</v>
      </c>
      <c r="M13" s="0" t="n">
        <v>0.1</v>
      </c>
      <c r="N13" s="13" t="n">
        <v>1</v>
      </c>
      <c r="O13" s="13" t="n">
        <v>1.23896418872747</v>
      </c>
      <c r="P13" s="13" t="n">
        <v>0.842105263157895</v>
      </c>
      <c r="Q13" s="13" t="n">
        <v>0.396858925569577</v>
      </c>
      <c r="R13" s="13" t="n">
        <v>0.105263157894737</v>
      </c>
      <c r="S13" s="13" t="n">
        <v>0</v>
      </c>
      <c r="T13" s="0" t="n">
        <v>0.1</v>
      </c>
      <c r="U13" s="13" t="n">
        <v>1</v>
      </c>
      <c r="V13" s="13" t="n">
        <v>1.23896418872747</v>
      </c>
      <c r="W13" s="13" t="n">
        <v>0.842105263157895</v>
      </c>
      <c r="X13" s="13" t="n">
        <v>0.396858925569577</v>
      </c>
      <c r="Y13" s="13" t="n">
        <v>0.105263157894737</v>
      </c>
      <c r="Z13" s="13" t="n">
        <v>0</v>
      </c>
    </row>
    <row r="14" customFormat="false" ht="15" hidden="false" customHeight="false" outlineLevel="0" collapsed="false">
      <c r="M14" s="0" t="n">
        <v>0.402</v>
      </c>
      <c r="N14" s="13" t="n">
        <v>1</v>
      </c>
      <c r="O14" s="13" t="n">
        <v>1.78341365707656</v>
      </c>
      <c r="P14" s="13" t="n">
        <v>0.139959734560204</v>
      </c>
      <c r="Q14" s="13" t="n">
        <v>0.00477503823067546</v>
      </c>
      <c r="R14" s="13" t="n">
        <v>0.00477503823067546</v>
      </c>
      <c r="S14" s="13" t="n">
        <v>0</v>
      </c>
      <c r="T14" s="0" t="n">
        <v>0.4032</v>
      </c>
      <c r="U14" s="13" t="n">
        <v>1</v>
      </c>
      <c r="V14" s="13" t="n">
        <v>1.78341365707656</v>
      </c>
      <c r="W14" s="13" t="n">
        <v>0.139959734560204</v>
      </c>
      <c r="X14" s="13" t="n">
        <v>0.00477503823067546</v>
      </c>
      <c r="Y14" s="13" t="n">
        <v>0.00477503823067546</v>
      </c>
      <c r="Z14" s="13" t="n">
        <v>0</v>
      </c>
    </row>
    <row r="15" customFormat="false" ht="15" hidden="false" customHeight="false" outlineLevel="0" collapsed="false">
      <c r="M15" s="0" t="n">
        <v>0.1642</v>
      </c>
      <c r="N15" s="13" t="n">
        <v>1</v>
      </c>
      <c r="O15" s="13" t="n">
        <v>2.42737478957561</v>
      </c>
      <c r="P15" s="13" t="n">
        <v>1.15862898224208</v>
      </c>
      <c r="Q15" s="13" t="n">
        <v>0.0450592985431671</v>
      </c>
      <c r="R15" s="13" t="n">
        <v>0.00227827913982305</v>
      </c>
      <c r="S15" s="13" t="n">
        <v>0</v>
      </c>
      <c r="T15" s="0" t="n">
        <v>0.1655</v>
      </c>
      <c r="U15" s="13" t="n">
        <v>1</v>
      </c>
      <c r="V15" s="13" t="n">
        <v>2.42737478957561</v>
      </c>
      <c r="W15" s="13" t="n">
        <v>1.15862898224208</v>
      </c>
      <c r="X15" s="13" t="n">
        <v>0.0450592985431671</v>
      </c>
      <c r="Y15" s="13" t="n">
        <v>0.00227827913982305</v>
      </c>
      <c r="Z15" s="13" t="n">
        <v>0</v>
      </c>
    </row>
    <row r="18" customFormat="false" ht="60" hidden="false" customHeight="false" outlineLevel="0" collapsed="false">
      <c r="A18" s="19" t="s">
        <v>272</v>
      </c>
      <c r="D18" s="13"/>
      <c r="F18" s="13" t="n">
        <v>1</v>
      </c>
      <c r="G18" s="13" t="n">
        <v>1.826</v>
      </c>
      <c r="H18" s="13" t="n">
        <v>0.5</v>
      </c>
      <c r="I18" s="13" t="n">
        <v>0.136</v>
      </c>
      <c r="J18" s="13" t="n">
        <v>0.012</v>
      </c>
      <c r="K18" s="13" t="n">
        <v>0.003</v>
      </c>
      <c r="N18" s="13" t="n">
        <f aca="false">((N11)*($M$11))+((N12)*($M$12))+((N13)*($M$13))+((N14)*($M$14))+((N15)*($M$15))</f>
        <v>0.9693</v>
      </c>
      <c r="O18" s="13" t="n">
        <f aca="false">((O11)*($M$11))+((O12)*($M$12))+((O13)*($M$13))+((O14)*($M$14))+((O15)*($M$15))</f>
        <v>1.84413359279005</v>
      </c>
      <c r="P18" s="13" t="n">
        <f aca="false">((P11)*($M$11))+((P12)*($M$12))+((P13)*($M$13))+((P14)*($M$14))+((P15)*($M$15))</f>
        <v>0.48871103489201</v>
      </c>
      <c r="Q18" s="13" t="n">
        <f aca="false">((Q11)*($M$11))+((Q12)*($M$12))+((Q13)*($M$13))+((Q14)*($M$14))+((Q15)*($M$15))</f>
        <v>0.136759909900149</v>
      </c>
      <c r="R18" s="13" t="n">
        <f aca="false">((R11)*($M$11))+((R12)*($M$12))+((R13)*($M$13))+((R14)*($M$14))+((R15)*($M$15))</f>
        <v>0.0131283044253302</v>
      </c>
      <c r="S18" s="13" t="n">
        <f aca="false">((S11)*($M$11))+((S12)*($M$12))+((S13)*($M$13))+((S14)*($M$14))+((S15)*($M$15))</f>
        <v>0.00188000611724272</v>
      </c>
      <c r="U18" s="13" t="n">
        <f aca="false">((U11)*($T$11))+((U12)*($T$12))+((U13)*($T$13))+((U14)*($T$14))+((U15)*($T$15))</f>
        <v>0.9691</v>
      </c>
      <c r="V18" s="13" t="n">
        <f aca="false">((V11)*($T$11))+((V12)*($T$12))+((V13)*($T$13))+((V14)*($T$14))+((V15)*($T$15))</f>
        <v>1.8440224466129</v>
      </c>
      <c r="W18" s="13" t="n">
        <f aca="false">((W11)*($T$11))+((W12)*($T$12))+((W13)*($T$13))+((W14)*($T$14))+((W15)*($T$15))</f>
        <v>0.488980413977179</v>
      </c>
      <c r="X18" s="13" t="n">
        <f aca="false">((X11)*($T$11))+((X12)*($T$12))+((X13)*($T$13))+((X14)*($T$14))+((X15)*($T$15))</f>
        <v>0.136045137365604</v>
      </c>
      <c r="Y18" s="13" t="n">
        <f aca="false">((Y11)*($T$11))+((Y12)*($T$12))+((Y13)*($T$13))+((Y14)*($T$14))+((Y15)*($T$15))</f>
        <v>0.0131369962340888</v>
      </c>
      <c r="Z18" s="13" t="n">
        <f aca="false">((Z11)*($T$11))+((Z12)*($T$12))+((Z13)*($T$13))+((Z14)*($T$14))+((Z15)*($T$15))</f>
        <v>0.00186309170032651</v>
      </c>
    </row>
    <row r="19" customFormat="false" ht="45" hidden="false" customHeight="false" outlineLevel="0" collapsed="false">
      <c r="A19" s="19" t="s">
        <v>273</v>
      </c>
      <c r="D19" s="13"/>
      <c r="F19" s="13" t="n">
        <v>1</v>
      </c>
      <c r="G19" s="13" t="n">
        <v>1.85</v>
      </c>
      <c r="H19" s="13" t="n">
        <v>0.33</v>
      </c>
      <c r="I19" s="13" t="n">
        <v>0.05</v>
      </c>
    </row>
    <row r="23" customFormat="false" ht="15" hidden="false" customHeight="false" outlineLevel="0" collapsed="false">
      <c r="A23" s="0" t="s">
        <v>274</v>
      </c>
    </row>
    <row r="24" customFormat="false" ht="15" hidden="false" customHeight="false" outlineLevel="0" collapsed="false">
      <c r="A24" s="0" t="s">
        <v>3</v>
      </c>
      <c r="C24" s="0" t="n">
        <v>0.263</v>
      </c>
      <c r="D24" s="0" t="n">
        <v>0.263</v>
      </c>
      <c r="E24" s="0" t="n">
        <f aca="false">(D24)/($D$31)</f>
        <v>0.340422227112106</v>
      </c>
    </row>
    <row r="25" customFormat="false" ht="15" hidden="false" customHeight="false" outlineLevel="0" collapsed="false">
      <c r="A25" s="0" t="s">
        <v>4</v>
      </c>
      <c r="C25" s="0" t="n">
        <v>0.00244</v>
      </c>
      <c r="D25" s="0" t="n">
        <v>0.00244</v>
      </c>
      <c r="E25" s="0" t="n">
        <f aca="false">(D25)/($D$31)</f>
        <v>0.00315828986370167</v>
      </c>
    </row>
    <row r="26" customFormat="false" ht="15" hidden="false" customHeight="false" outlineLevel="0" collapsed="false">
      <c r="A26" s="0" t="s">
        <v>5</v>
      </c>
      <c r="C26" s="0" t="n">
        <v>0.01814</v>
      </c>
      <c r="D26" s="0" t="n">
        <v>0.01814</v>
      </c>
      <c r="E26" s="0" t="n">
        <f aca="false">(D26)/($D$31)</f>
        <v>0.0234800730030936</v>
      </c>
    </row>
    <row r="27" customFormat="false" ht="15" hidden="false" customHeight="false" outlineLevel="0" collapsed="false">
      <c r="A27" s="0" t="s">
        <v>260</v>
      </c>
      <c r="C27" s="0" t="n">
        <v>0.10899</v>
      </c>
      <c r="D27" s="0" t="n">
        <v>0.10899</v>
      </c>
      <c r="E27" s="0" t="n">
        <f aca="false">(D27)/($D$31)</f>
        <v>0.141074595182314</v>
      </c>
    </row>
    <row r="28" customFormat="false" ht="15" hidden="false" customHeight="false" outlineLevel="0" collapsed="false">
      <c r="A28" s="0" t="s">
        <v>261</v>
      </c>
      <c r="C28" s="0" t="n">
        <v>0.38</v>
      </c>
      <c r="D28" s="0" t="n">
        <v>0.38</v>
      </c>
      <c r="E28" s="0" t="n">
        <f aca="false">(D28)/($D$31)</f>
        <v>0.491864814838785</v>
      </c>
    </row>
    <row r="29" customFormat="false" ht="15" hidden="false" customHeight="false" outlineLevel="0" collapsed="false">
      <c r="A29" s="0" t="s">
        <v>275</v>
      </c>
      <c r="C29" s="0" t="n">
        <v>0.131</v>
      </c>
      <c r="D29" s="0" t="n">
        <v>0</v>
      </c>
      <c r="E29" s="0" t="n">
        <f aca="false">(D29)/($D$31)</f>
        <v>0</v>
      </c>
    </row>
    <row r="30" customFormat="false" ht="15" hidden="false" customHeight="false" outlineLevel="0" collapsed="false">
      <c r="A30" s="0" t="s">
        <v>263</v>
      </c>
      <c r="C30" s="0" t="n">
        <v>0.075</v>
      </c>
      <c r="D30" s="0" t="n">
        <v>0</v>
      </c>
      <c r="E30" s="0" t="n">
        <f aca="false">(D30)/($D$31)</f>
        <v>0</v>
      </c>
    </row>
    <row r="31" customFormat="false" ht="15" hidden="false" customHeight="false" outlineLevel="0" collapsed="false">
      <c r="A31" s="0" t="s">
        <v>276</v>
      </c>
      <c r="C31" s="0" t="n">
        <f aca="false">SUM(C24:C30)</f>
        <v>0.97857</v>
      </c>
      <c r="D31" s="0" t="n">
        <f aca="false">SUM(D24:D30)</f>
        <v>0.77257</v>
      </c>
    </row>
    <row r="36" customFormat="false" ht="15" hidden="false" customHeight="false" outlineLevel="0" collapsed="false">
      <c r="A36" s="34" t="s">
        <v>277</v>
      </c>
      <c r="B36" s="34"/>
      <c r="C36" s="34"/>
      <c r="D36" s="34"/>
      <c r="E36" s="34" t="s">
        <v>31</v>
      </c>
      <c r="F36" s="34" t="s">
        <v>42</v>
      </c>
      <c r="G36" s="34" t="s">
        <v>255</v>
      </c>
      <c r="H36" s="34" t="s">
        <v>25</v>
      </c>
      <c r="I36" s="34" t="s">
        <v>54</v>
      </c>
      <c r="J36" s="34" t="s">
        <v>56</v>
      </c>
      <c r="K36" s="62" t="s">
        <v>254</v>
      </c>
      <c r="L36" s="34"/>
      <c r="M36" s="34"/>
      <c r="N36" s="34"/>
      <c r="O36" s="34"/>
      <c r="P36" s="63"/>
      <c r="Q36" s="63"/>
      <c r="R36" s="63"/>
    </row>
    <row r="37" customFormat="false" ht="15" hidden="false" customHeight="false" outlineLevel="0" collapsed="false">
      <c r="A37" s="34"/>
      <c r="B37" s="34"/>
      <c r="C37" s="34"/>
      <c r="D37" s="34" t="s">
        <v>278</v>
      </c>
      <c r="E37" s="13" t="n">
        <v>4.7756319843767</v>
      </c>
      <c r="F37" s="13" t="n">
        <v>9.56334418118394</v>
      </c>
      <c r="G37" s="13" t="n">
        <v>2.48472642967388</v>
      </c>
      <c r="H37" s="13" t="n">
        <v>1.37799917903653</v>
      </c>
      <c r="I37" s="34"/>
      <c r="J37" s="34" t="n">
        <v>0.029917418674869</v>
      </c>
      <c r="K37" s="34" t="n">
        <v>0.3018</v>
      </c>
      <c r="L37" s="34"/>
      <c r="M37" s="34"/>
      <c r="N37" s="34"/>
      <c r="O37" s="34"/>
      <c r="P37" s="63"/>
      <c r="Q37" s="63"/>
      <c r="R37" s="63"/>
    </row>
    <row r="38" customFormat="false" ht="15" hidden="false" customHeight="false" outlineLevel="0" collapsed="false">
      <c r="A38" s="34"/>
      <c r="B38" s="34"/>
      <c r="C38" s="34"/>
      <c r="D38" s="34" t="s">
        <v>4</v>
      </c>
      <c r="E38" s="34" t="n">
        <v>9.72984020708901</v>
      </c>
      <c r="F38" s="34" t="n">
        <v>12.229840207089</v>
      </c>
      <c r="G38" s="34" t="n">
        <v>6</v>
      </c>
      <c r="H38" s="34" t="n">
        <v>3.77015979291099</v>
      </c>
      <c r="I38" s="34" t="n">
        <v>1</v>
      </c>
      <c r="J38" s="34" t="n">
        <v>0</v>
      </c>
      <c r="K38" s="34" t="n">
        <v>0.003</v>
      </c>
      <c r="L38" s="34"/>
      <c r="M38" s="34"/>
      <c r="N38" s="34"/>
      <c r="O38" s="34"/>
      <c r="P38" s="63"/>
      <c r="Q38" s="63"/>
      <c r="R38" s="63"/>
    </row>
    <row r="39" customFormat="false" ht="15" hidden="false" customHeight="false" outlineLevel="0" collapsed="false">
      <c r="A39" s="34"/>
      <c r="B39" s="34"/>
      <c r="C39" s="34"/>
      <c r="D39" s="34" t="s">
        <v>5</v>
      </c>
      <c r="E39" s="34" t="n">
        <v>9.5</v>
      </c>
      <c r="F39" s="34" t="n">
        <v>11.770159792911</v>
      </c>
      <c r="G39" s="34" t="n">
        <v>8</v>
      </c>
      <c r="H39" s="34" t="n">
        <v>3.77015979291099</v>
      </c>
      <c r="I39" s="34" t="n">
        <v>1</v>
      </c>
      <c r="J39" s="34" t="n">
        <v>0</v>
      </c>
      <c r="K39" s="34" t="n">
        <v>0.1</v>
      </c>
      <c r="L39" s="34"/>
      <c r="M39" s="34"/>
      <c r="N39" s="34"/>
      <c r="O39" s="34"/>
      <c r="P39" s="63"/>
      <c r="Q39" s="63"/>
      <c r="R39" s="63"/>
    </row>
    <row r="40" customFormat="false" ht="15" hidden="false" customHeight="false" outlineLevel="0" collapsed="false">
      <c r="A40" s="34"/>
      <c r="B40" s="34"/>
      <c r="C40" s="34"/>
      <c r="D40" s="34" t="s">
        <v>260</v>
      </c>
      <c r="E40" s="34" t="n">
        <v>102.652134292566</v>
      </c>
      <c r="F40" s="34" t="n">
        <v>183.07121822542</v>
      </c>
      <c r="G40" s="34" t="n">
        <v>14.3671654676259</v>
      </c>
      <c r="H40" s="34" t="n">
        <v>0.490167865707434</v>
      </c>
      <c r="I40" s="34" t="n">
        <v>0.490167865707434</v>
      </c>
      <c r="J40" s="34" t="n">
        <v>0</v>
      </c>
      <c r="K40" s="34" t="n">
        <v>0.4011</v>
      </c>
      <c r="L40" s="34"/>
      <c r="M40" s="34"/>
      <c r="N40" s="34"/>
      <c r="O40" s="34"/>
      <c r="P40" s="63"/>
      <c r="Q40" s="63"/>
      <c r="R40" s="63"/>
    </row>
    <row r="41" customFormat="false" ht="15" hidden="false" customHeight="false" outlineLevel="0" collapsed="false">
      <c r="A41" s="34"/>
      <c r="B41" s="34"/>
      <c r="C41" s="34"/>
      <c r="D41" s="34" t="s">
        <v>261</v>
      </c>
      <c r="E41" s="13" t="n">
        <v>4.47885487528345</v>
      </c>
      <c r="F41" s="13" t="n">
        <v>10.8718594104308</v>
      </c>
      <c r="G41" s="13" t="n">
        <v>5.18933106575964</v>
      </c>
      <c r="H41" s="13" t="n">
        <v>0.201814058956916</v>
      </c>
      <c r="I41" s="13" t="n">
        <v>0.0102040816326531</v>
      </c>
      <c r="J41" s="13" t="n">
        <v>0</v>
      </c>
      <c r="K41" s="34" t="n">
        <v>0.1634</v>
      </c>
      <c r="L41" s="34"/>
      <c r="M41" s="34"/>
      <c r="N41" s="34"/>
      <c r="O41" s="34"/>
      <c r="P41" s="63"/>
      <c r="Q41" s="63"/>
      <c r="R41" s="63"/>
    </row>
    <row r="42" customFormat="false" ht="15" hidden="false" customHeight="false" outlineLevel="0" collapsed="false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 t="n">
        <f aca="false">1-SUM(K37:K41)</f>
        <v>0.0306999999999999</v>
      </c>
      <c r="L42" s="34"/>
      <c r="M42" s="34"/>
      <c r="N42" s="34"/>
      <c r="O42" s="34"/>
      <c r="P42" s="63"/>
      <c r="Q42" s="63"/>
      <c r="R42" s="63"/>
    </row>
    <row r="43" customFormat="false" ht="15" hidden="false" customHeight="false" outlineLevel="0" collapsed="false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63"/>
      <c r="Q43" s="63"/>
      <c r="R43" s="63"/>
    </row>
    <row r="44" customFormat="false" ht="15" hidden="false" customHeight="false" outlineLevel="0" collapsed="false">
      <c r="A44" s="34"/>
      <c r="B44" s="34"/>
      <c r="C44" s="34" t="s">
        <v>264</v>
      </c>
      <c r="D44" s="34"/>
      <c r="E44" s="13" t="n">
        <f aca="false">((E37)*($E$2))+((E38)*($E$3))+((E39)*($E$4))+((E40)*($E$5))+((E41)*($E$6))</f>
        <v>44.3260912048757</v>
      </c>
      <c r="F44" s="13" t="n">
        <f aca="false">((F37)*($E$2))+((F38)*($E$3))+((F39)*($E$4))+((F40)*($E$5))+((F41)*($E$6))</f>
        <v>79.3062502316739</v>
      </c>
      <c r="G44" s="13" t="n">
        <f aca="false">((G37)*($E$2))+((G38)*($E$3))+((G39)*($E$4))+((G40)*($E$5))+((G41)*($E$6))</f>
        <v>8.17849720168545</v>
      </c>
      <c r="H44" s="13" t="n">
        <f aca="false">((H37)*($E$2))+((H38)*($E$3))+((H39)*($E$4))+((H40)*($E$5))+((H41)*($E$6))</f>
        <v>1.03378935907187</v>
      </c>
      <c r="I44" s="13" t="n">
        <f aca="false">((I37)*($E$2))+((I38)*($E$3))+((I39)*($E$4))+((I40)*($E$5))+((I41)*($E$6))</f>
        <v>0.301273677874027</v>
      </c>
      <c r="J44" s="13" t="n">
        <f aca="false">((J37)*($E$2))+((J38)*($E$3))+((J39)*($E$4))+((J40)*($E$5))+((J41)*($E$6))</f>
        <v>0.00902907695607546</v>
      </c>
      <c r="K44" s="34"/>
      <c r="L44" s="34"/>
      <c r="M44" s="34"/>
      <c r="N44" s="34"/>
      <c r="O44" s="34"/>
      <c r="P44" s="63"/>
      <c r="Q44" s="63"/>
      <c r="R44" s="63"/>
    </row>
    <row r="45" customFormat="false" ht="15" hidden="false" customHeight="false" outlineLevel="0" collapsed="false">
      <c r="A45" s="63"/>
      <c r="B45" s="63"/>
      <c r="C45" s="63"/>
      <c r="D45" s="63"/>
      <c r="E45" s="64" t="n">
        <f aca="false">(E44)/($E$44)</f>
        <v>1</v>
      </c>
      <c r="F45" s="65" t="n">
        <f aca="false">(F44)/($E$44)</f>
        <v>1.78915505689684</v>
      </c>
      <c r="G45" s="65" t="n">
        <f aca="false">(G44)/($E$44)</f>
        <v>0.184507520951585</v>
      </c>
      <c r="H45" s="65" t="n">
        <f aca="false">(H44)/($E$44)</f>
        <v>0.0233223668266548</v>
      </c>
      <c r="I45" s="65" t="n">
        <f aca="false">(I44)/($E$44)</f>
        <v>0.00679675716231186</v>
      </c>
      <c r="J45" s="65" t="n">
        <f aca="false">(J44)/($E$44)</f>
        <v>0.00020369666511633</v>
      </c>
      <c r="K45" s="63"/>
      <c r="L45" s="63"/>
      <c r="M45" s="63"/>
      <c r="N45" s="63"/>
      <c r="O45" s="63"/>
      <c r="P45" s="63"/>
      <c r="Q45" s="63"/>
      <c r="R45" s="63"/>
    </row>
    <row r="46" customFormat="false" ht="15" hidden="false" customHeight="false" outlineLevel="0" collapsed="false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</row>
    <row r="47" customFormat="false" ht="15" hidden="false" customHeight="false" outlineLevel="0" collapsed="false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</row>
    <row r="48" customFormat="false" ht="15" hidden="false" customHeight="false" outlineLevel="0" collapsed="false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2014-08-08T12:33:29Z</dcterms:created>
  <dc:creator>Christian</dc:creator>
  <dc:description/>
  <dc:language>en-US</dc:language>
  <cp:lastModifiedBy/>
  <dcterms:modified xsi:type="dcterms:W3CDTF">2022-02-18T10:29:38Z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