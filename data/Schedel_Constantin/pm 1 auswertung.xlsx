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activeTab="2"/>
  </bookViews>
  <sheets>
    <sheet name="Rohdaten" sheetId="1" r:id="rId1"/>
    <sheet name="Steigung" sheetId="2" r:id="rId2"/>
    <sheet name="Wachstum" sheetId="3" r:id="rId3"/>
  </sheets>
  <calcPr calcId="152511"/>
</workbook>
</file>

<file path=xl/calcChain.xml><?xml version="1.0" encoding="utf-8"?>
<calcChain xmlns="http://schemas.openxmlformats.org/spreadsheetml/2006/main">
  <c r="Q40" i="3" l="1"/>
  <c r="R40" i="3"/>
  <c r="S40" i="3"/>
  <c r="T40" i="3"/>
  <c r="U40" i="3"/>
  <c r="V40" i="3"/>
  <c r="W40" i="3"/>
  <c r="X40" i="3"/>
  <c r="Y40" i="3"/>
  <c r="Z40" i="3"/>
  <c r="AA40" i="3"/>
  <c r="Q41" i="3"/>
  <c r="R41" i="3"/>
  <c r="S41" i="3"/>
  <c r="T41" i="3"/>
  <c r="U41" i="3"/>
  <c r="V41" i="3"/>
  <c r="W41" i="3"/>
  <c r="X41" i="3"/>
  <c r="Y41" i="3"/>
  <c r="Z41" i="3"/>
  <c r="AA41" i="3"/>
  <c r="Q42" i="3"/>
  <c r="R42" i="3"/>
  <c r="S42" i="3"/>
  <c r="T42" i="3"/>
  <c r="U42" i="3"/>
  <c r="V42" i="3"/>
  <c r="W42" i="3"/>
  <c r="X42" i="3"/>
  <c r="Y42" i="3"/>
  <c r="Z42" i="3"/>
  <c r="AA42" i="3"/>
  <c r="Q43" i="3"/>
  <c r="R43" i="3"/>
  <c r="S43" i="3"/>
  <c r="T43" i="3"/>
  <c r="U43" i="3"/>
  <c r="V43" i="3"/>
  <c r="W43" i="3"/>
  <c r="X43" i="3"/>
  <c r="Y43" i="3"/>
  <c r="Z43" i="3"/>
  <c r="AA43" i="3"/>
  <c r="Q44" i="3"/>
  <c r="R44" i="3"/>
  <c r="S44" i="3"/>
  <c r="T44" i="3"/>
  <c r="U44" i="3"/>
  <c r="V44" i="3"/>
  <c r="W44" i="3"/>
  <c r="X44" i="3"/>
  <c r="Y44" i="3"/>
  <c r="Z44" i="3"/>
  <c r="AA44" i="3"/>
  <c r="Q45" i="3"/>
  <c r="R45" i="3"/>
  <c r="S45" i="3"/>
  <c r="T45" i="3"/>
  <c r="U45" i="3"/>
  <c r="V45" i="3"/>
  <c r="W45" i="3"/>
  <c r="X45" i="3"/>
  <c r="Y45" i="3"/>
  <c r="Z45" i="3"/>
  <c r="AA45" i="3"/>
  <c r="Q46" i="3"/>
  <c r="R46" i="3"/>
  <c r="S46" i="3"/>
  <c r="T46" i="3"/>
  <c r="U46" i="3"/>
  <c r="V46" i="3"/>
  <c r="W46" i="3"/>
  <c r="X46" i="3"/>
  <c r="Y46" i="3"/>
  <c r="Z46" i="3"/>
  <c r="AA46" i="3"/>
  <c r="Q47" i="3"/>
  <c r="R47" i="3"/>
  <c r="S47" i="3"/>
  <c r="T47" i="3"/>
  <c r="U47" i="3"/>
  <c r="V47" i="3"/>
  <c r="W47" i="3"/>
  <c r="X47" i="3"/>
  <c r="Y47" i="3"/>
  <c r="Z47" i="3"/>
  <c r="AA47" i="3"/>
  <c r="Q48" i="3"/>
  <c r="R48" i="3"/>
  <c r="S48" i="3"/>
  <c r="T48" i="3"/>
  <c r="U48" i="3"/>
  <c r="V48" i="3"/>
  <c r="W48" i="3"/>
  <c r="X48" i="3"/>
  <c r="Y48" i="3"/>
  <c r="Z48" i="3"/>
  <c r="AA48" i="3"/>
  <c r="Q49" i="3"/>
  <c r="R49" i="3"/>
  <c r="S49" i="3"/>
  <c r="T49" i="3"/>
  <c r="U49" i="3"/>
  <c r="V49" i="3"/>
  <c r="W49" i="3"/>
  <c r="X49" i="3"/>
  <c r="Y49" i="3"/>
  <c r="Z49" i="3"/>
  <c r="AA49" i="3"/>
  <c r="Q50" i="3"/>
  <c r="R50" i="3"/>
  <c r="S50" i="3"/>
  <c r="T50" i="3"/>
  <c r="U50" i="3"/>
  <c r="V50" i="3"/>
  <c r="W50" i="3"/>
  <c r="X50" i="3"/>
  <c r="Y50" i="3"/>
  <c r="Z50" i="3"/>
  <c r="AA50" i="3"/>
  <c r="Q51" i="3"/>
  <c r="R51" i="3"/>
  <c r="S51" i="3"/>
  <c r="T51" i="3"/>
  <c r="U51" i="3"/>
  <c r="V51" i="3"/>
  <c r="W51" i="3"/>
  <c r="X51" i="3"/>
  <c r="Y51" i="3"/>
  <c r="Z51" i="3"/>
  <c r="AA51" i="3"/>
  <c r="Q52" i="3"/>
  <c r="R52" i="3"/>
  <c r="S52" i="3"/>
  <c r="T52" i="3"/>
  <c r="U52" i="3"/>
  <c r="V52" i="3"/>
  <c r="W52" i="3"/>
  <c r="X52" i="3"/>
  <c r="Y52" i="3"/>
  <c r="Z52" i="3"/>
  <c r="AA52" i="3"/>
  <c r="Q53" i="3"/>
  <c r="R53" i="3"/>
  <c r="S53" i="3"/>
  <c r="T53" i="3"/>
  <c r="U53" i="3"/>
  <c r="V53" i="3"/>
  <c r="W53" i="3"/>
  <c r="X53" i="3"/>
  <c r="Y53" i="3"/>
  <c r="Z53" i="3"/>
  <c r="AA53" i="3"/>
  <c r="Q54" i="3"/>
  <c r="R54" i="3"/>
  <c r="S54" i="3"/>
  <c r="T54" i="3"/>
  <c r="U54" i="3"/>
  <c r="V54" i="3"/>
  <c r="W54" i="3"/>
  <c r="X54" i="3"/>
  <c r="Y54" i="3"/>
  <c r="Z54" i="3"/>
  <c r="AA54" i="3"/>
  <c r="Q55" i="3"/>
  <c r="R55" i="3"/>
  <c r="S55" i="3"/>
  <c r="T55" i="3"/>
  <c r="U55" i="3"/>
  <c r="V55" i="3"/>
  <c r="W55" i="3"/>
  <c r="X55" i="3"/>
  <c r="Y55" i="3"/>
  <c r="Z55" i="3"/>
  <c r="AA55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40" i="3"/>
  <c r="B41" i="3"/>
  <c r="C41" i="3"/>
  <c r="D41" i="3"/>
  <c r="E41" i="3"/>
  <c r="F41" i="3"/>
  <c r="G41" i="3"/>
  <c r="H41" i="3"/>
  <c r="I41" i="3"/>
  <c r="J41" i="3"/>
  <c r="K41" i="3"/>
  <c r="L41" i="3"/>
  <c r="M41" i="3"/>
  <c r="B42" i="3"/>
  <c r="C42" i="3"/>
  <c r="D42" i="3"/>
  <c r="E42" i="3"/>
  <c r="F42" i="3"/>
  <c r="G42" i="3"/>
  <c r="H42" i="3"/>
  <c r="I42" i="3"/>
  <c r="J42" i="3"/>
  <c r="K42" i="3"/>
  <c r="L42" i="3"/>
  <c r="M42" i="3"/>
  <c r="B43" i="3"/>
  <c r="C43" i="3"/>
  <c r="D43" i="3"/>
  <c r="E43" i="3"/>
  <c r="F43" i="3"/>
  <c r="G43" i="3"/>
  <c r="H43" i="3"/>
  <c r="I43" i="3"/>
  <c r="J43" i="3"/>
  <c r="K43" i="3"/>
  <c r="L43" i="3"/>
  <c r="M43" i="3"/>
  <c r="B44" i="3"/>
  <c r="C44" i="3"/>
  <c r="D44" i="3"/>
  <c r="E44" i="3"/>
  <c r="F44" i="3"/>
  <c r="G44" i="3"/>
  <c r="H44" i="3"/>
  <c r="I44" i="3"/>
  <c r="J44" i="3"/>
  <c r="K44" i="3"/>
  <c r="L44" i="3"/>
  <c r="M44" i="3"/>
  <c r="B45" i="3"/>
  <c r="C45" i="3"/>
  <c r="D45" i="3"/>
  <c r="E45" i="3"/>
  <c r="F45" i="3"/>
  <c r="G45" i="3"/>
  <c r="H45" i="3"/>
  <c r="I45" i="3"/>
  <c r="J45" i="3"/>
  <c r="K45" i="3"/>
  <c r="L45" i="3"/>
  <c r="M45" i="3"/>
  <c r="B46" i="3"/>
  <c r="C46" i="3"/>
  <c r="D46" i="3"/>
  <c r="E46" i="3"/>
  <c r="F46" i="3"/>
  <c r="G46" i="3"/>
  <c r="H46" i="3"/>
  <c r="I46" i="3"/>
  <c r="J46" i="3"/>
  <c r="K46" i="3"/>
  <c r="L46" i="3"/>
  <c r="M46" i="3"/>
  <c r="B47" i="3"/>
  <c r="C47" i="3"/>
  <c r="D47" i="3"/>
  <c r="E47" i="3"/>
  <c r="F47" i="3"/>
  <c r="G47" i="3"/>
  <c r="H47" i="3"/>
  <c r="I47" i="3"/>
  <c r="J47" i="3"/>
  <c r="K47" i="3"/>
  <c r="L47" i="3"/>
  <c r="M47" i="3"/>
  <c r="B48" i="3"/>
  <c r="C48" i="3"/>
  <c r="D48" i="3"/>
  <c r="E48" i="3"/>
  <c r="F48" i="3"/>
  <c r="G48" i="3"/>
  <c r="H48" i="3"/>
  <c r="I48" i="3"/>
  <c r="J48" i="3"/>
  <c r="K48" i="3"/>
  <c r="L48" i="3"/>
  <c r="M48" i="3"/>
  <c r="B49" i="3"/>
  <c r="C49" i="3"/>
  <c r="D49" i="3"/>
  <c r="E49" i="3"/>
  <c r="F49" i="3"/>
  <c r="G49" i="3"/>
  <c r="H49" i="3"/>
  <c r="I49" i="3"/>
  <c r="J49" i="3"/>
  <c r="K49" i="3"/>
  <c r="L49" i="3"/>
  <c r="M49" i="3"/>
  <c r="B50" i="3"/>
  <c r="C50" i="3"/>
  <c r="D50" i="3"/>
  <c r="E50" i="3"/>
  <c r="F50" i="3"/>
  <c r="G50" i="3"/>
  <c r="H50" i="3"/>
  <c r="I50" i="3"/>
  <c r="J50" i="3"/>
  <c r="K50" i="3"/>
  <c r="L50" i="3"/>
  <c r="M50" i="3"/>
  <c r="B51" i="3"/>
  <c r="C51" i="3"/>
  <c r="D51" i="3"/>
  <c r="E51" i="3"/>
  <c r="F51" i="3"/>
  <c r="G51" i="3"/>
  <c r="H51" i="3"/>
  <c r="I51" i="3"/>
  <c r="J51" i="3"/>
  <c r="K51" i="3"/>
  <c r="L51" i="3"/>
  <c r="M51" i="3"/>
  <c r="B52" i="3"/>
  <c r="C52" i="3"/>
  <c r="D52" i="3"/>
  <c r="E52" i="3"/>
  <c r="F52" i="3"/>
  <c r="G52" i="3"/>
  <c r="H52" i="3"/>
  <c r="I52" i="3"/>
  <c r="J52" i="3"/>
  <c r="K52" i="3"/>
  <c r="L52" i="3"/>
  <c r="M52" i="3"/>
  <c r="B53" i="3"/>
  <c r="C53" i="3"/>
  <c r="D53" i="3"/>
  <c r="E53" i="3"/>
  <c r="F53" i="3"/>
  <c r="G53" i="3"/>
  <c r="H53" i="3"/>
  <c r="I53" i="3"/>
  <c r="J53" i="3"/>
  <c r="K53" i="3"/>
  <c r="L53" i="3"/>
  <c r="M53" i="3"/>
  <c r="B54" i="3"/>
  <c r="C54" i="3"/>
  <c r="D54" i="3"/>
  <c r="E54" i="3"/>
  <c r="F54" i="3"/>
  <c r="G54" i="3"/>
  <c r="H54" i="3"/>
  <c r="I54" i="3"/>
  <c r="J54" i="3"/>
  <c r="K54" i="3"/>
  <c r="L54" i="3"/>
  <c r="M54" i="3"/>
  <c r="B55" i="3"/>
  <c r="C55" i="3"/>
  <c r="D55" i="3"/>
  <c r="E55" i="3"/>
  <c r="F55" i="3"/>
  <c r="G55" i="3"/>
  <c r="H55" i="3"/>
  <c r="I55" i="3"/>
  <c r="J55" i="3"/>
  <c r="K55" i="3"/>
  <c r="L55" i="3"/>
  <c r="M55" i="3"/>
  <c r="C40" i="3"/>
  <c r="D40" i="3"/>
  <c r="E40" i="3"/>
  <c r="F40" i="3"/>
  <c r="G40" i="3"/>
  <c r="H40" i="3"/>
  <c r="I40" i="3"/>
  <c r="J40" i="3"/>
  <c r="K40" i="3"/>
  <c r="L40" i="3"/>
  <c r="M40" i="3"/>
  <c r="B40" i="3"/>
  <c r="O56" i="2" l="1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Q56" i="2"/>
  <c r="R56" i="2"/>
  <c r="S56" i="2"/>
  <c r="T56" i="2"/>
  <c r="U56" i="2"/>
  <c r="V56" i="2"/>
  <c r="W56" i="2"/>
  <c r="X56" i="2"/>
  <c r="Y56" i="2"/>
  <c r="Z56" i="2"/>
  <c r="Q57" i="2"/>
  <c r="R57" i="2"/>
  <c r="S57" i="2"/>
  <c r="T57" i="2"/>
  <c r="U57" i="2"/>
  <c r="V57" i="2"/>
  <c r="W57" i="2"/>
  <c r="X57" i="2"/>
  <c r="Y57" i="2"/>
  <c r="Z57" i="2"/>
  <c r="Q58" i="2"/>
  <c r="R58" i="2"/>
  <c r="S58" i="2"/>
  <c r="T58" i="2"/>
  <c r="U58" i="2"/>
  <c r="V58" i="2"/>
  <c r="W58" i="2"/>
  <c r="X58" i="2"/>
  <c r="Y58" i="2"/>
  <c r="Z58" i="2"/>
  <c r="Q59" i="2"/>
  <c r="R59" i="2"/>
  <c r="S59" i="2"/>
  <c r="T59" i="2"/>
  <c r="U59" i="2"/>
  <c r="V59" i="2"/>
  <c r="W59" i="2"/>
  <c r="X59" i="2"/>
  <c r="Y59" i="2"/>
  <c r="Z59" i="2"/>
  <c r="Q60" i="2"/>
  <c r="R60" i="2"/>
  <c r="S60" i="2"/>
  <c r="T60" i="2"/>
  <c r="U60" i="2"/>
  <c r="V60" i="2"/>
  <c r="W60" i="2"/>
  <c r="X60" i="2"/>
  <c r="Y60" i="2"/>
  <c r="Z60" i="2"/>
  <c r="Q61" i="2"/>
  <c r="R61" i="2"/>
  <c r="S61" i="2"/>
  <c r="T61" i="2"/>
  <c r="U61" i="2"/>
  <c r="V61" i="2"/>
  <c r="W61" i="2"/>
  <c r="X61" i="2"/>
  <c r="Y61" i="2"/>
  <c r="Z61" i="2"/>
  <c r="Q62" i="2"/>
  <c r="R62" i="2"/>
  <c r="S62" i="2"/>
  <c r="T62" i="2"/>
  <c r="U62" i="2"/>
  <c r="V62" i="2"/>
  <c r="W62" i="2"/>
  <c r="X62" i="2"/>
  <c r="Y62" i="2"/>
  <c r="Z62" i="2"/>
  <c r="Q63" i="2"/>
  <c r="R63" i="2"/>
  <c r="S63" i="2"/>
  <c r="T63" i="2"/>
  <c r="U63" i="2"/>
  <c r="V63" i="2"/>
  <c r="W63" i="2"/>
  <c r="X63" i="2"/>
  <c r="Y63" i="2"/>
  <c r="Z63" i="2"/>
  <c r="Q64" i="2"/>
  <c r="R64" i="2"/>
  <c r="S64" i="2"/>
  <c r="T64" i="2"/>
  <c r="U64" i="2"/>
  <c r="V64" i="2"/>
  <c r="W64" i="2"/>
  <c r="X64" i="2"/>
  <c r="Y64" i="2"/>
  <c r="Z64" i="2"/>
  <c r="Q65" i="2"/>
  <c r="R65" i="2"/>
  <c r="S65" i="2"/>
  <c r="T65" i="2"/>
  <c r="U65" i="2"/>
  <c r="V65" i="2"/>
  <c r="W65" i="2"/>
  <c r="X65" i="2"/>
  <c r="Y65" i="2"/>
  <c r="Z65" i="2"/>
  <c r="Q66" i="2"/>
  <c r="R66" i="2"/>
  <c r="S66" i="2"/>
  <c r="T66" i="2"/>
  <c r="U66" i="2"/>
  <c r="V66" i="2"/>
  <c r="W66" i="2"/>
  <c r="X66" i="2"/>
  <c r="Y66" i="2"/>
  <c r="Z66" i="2"/>
  <c r="Q67" i="2"/>
  <c r="R67" i="2"/>
  <c r="S67" i="2"/>
  <c r="T67" i="2"/>
  <c r="U67" i="2"/>
  <c r="V67" i="2"/>
  <c r="W67" i="2"/>
  <c r="X67" i="2"/>
  <c r="Y67" i="2"/>
  <c r="Z67" i="2"/>
  <c r="Q68" i="2"/>
  <c r="R68" i="2"/>
  <c r="S68" i="2"/>
  <c r="T68" i="2"/>
  <c r="U68" i="2"/>
  <c r="V68" i="2"/>
  <c r="W68" i="2"/>
  <c r="X68" i="2"/>
  <c r="Y68" i="2"/>
  <c r="Z68" i="2"/>
  <c r="Q69" i="2"/>
  <c r="R69" i="2"/>
  <c r="S69" i="2"/>
  <c r="T69" i="2"/>
  <c r="U69" i="2"/>
  <c r="V69" i="2"/>
  <c r="W69" i="2"/>
  <c r="X69" i="2"/>
  <c r="Y69" i="2"/>
  <c r="Z69" i="2"/>
  <c r="Q70" i="2"/>
  <c r="R70" i="2"/>
  <c r="S70" i="2"/>
  <c r="T70" i="2"/>
  <c r="U70" i="2"/>
  <c r="V70" i="2"/>
  <c r="W70" i="2"/>
  <c r="X70" i="2"/>
  <c r="Y70" i="2"/>
  <c r="Z70" i="2"/>
  <c r="Q71" i="2"/>
  <c r="R71" i="2"/>
  <c r="S71" i="2"/>
  <c r="T71" i="2"/>
  <c r="U71" i="2"/>
  <c r="V71" i="2"/>
  <c r="W71" i="2"/>
  <c r="X71" i="2"/>
  <c r="Y71" i="2"/>
  <c r="Z71" i="2"/>
  <c r="C56" i="2"/>
  <c r="D56" i="2"/>
  <c r="E56" i="2"/>
  <c r="F56" i="2"/>
  <c r="G56" i="2"/>
  <c r="H56" i="2"/>
  <c r="I56" i="2"/>
  <c r="J56" i="2"/>
  <c r="K56" i="2"/>
  <c r="L56" i="2"/>
  <c r="M56" i="2"/>
  <c r="P56" i="2"/>
  <c r="C57" i="2"/>
  <c r="D57" i="2"/>
  <c r="E57" i="2"/>
  <c r="F57" i="2"/>
  <c r="G57" i="2"/>
  <c r="H57" i="2"/>
  <c r="I57" i="2"/>
  <c r="J57" i="2"/>
  <c r="K57" i="2"/>
  <c r="L57" i="2"/>
  <c r="M57" i="2"/>
  <c r="P57" i="2"/>
  <c r="C58" i="2"/>
  <c r="D58" i="2"/>
  <c r="E58" i="2"/>
  <c r="F58" i="2"/>
  <c r="G58" i="2"/>
  <c r="H58" i="2"/>
  <c r="I58" i="2"/>
  <c r="J58" i="2"/>
  <c r="K58" i="2"/>
  <c r="L58" i="2"/>
  <c r="M58" i="2"/>
  <c r="P58" i="2"/>
  <c r="C59" i="2"/>
  <c r="D59" i="2"/>
  <c r="E59" i="2"/>
  <c r="F59" i="2"/>
  <c r="G59" i="2"/>
  <c r="H59" i="2"/>
  <c r="I59" i="2"/>
  <c r="J59" i="2"/>
  <c r="K59" i="2"/>
  <c r="L59" i="2"/>
  <c r="M59" i="2"/>
  <c r="P59" i="2"/>
  <c r="C60" i="2"/>
  <c r="D60" i="2"/>
  <c r="E60" i="2"/>
  <c r="F60" i="2"/>
  <c r="G60" i="2"/>
  <c r="H60" i="2"/>
  <c r="I60" i="2"/>
  <c r="J60" i="2"/>
  <c r="K60" i="2"/>
  <c r="L60" i="2"/>
  <c r="M60" i="2"/>
  <c r="P60" i="2"/>
  <c r="C61" i="2"/>
  <c r="D61" i="2"/>
  <c r="E61" i="2"/>
  <c r="F61" i="2"/>
  <c r="G61" i="2"/>
  <c r="H61" i="2"/>
  <c r="I61" i="2"/>
  <c r="J61" i="2"/>
  <c r="K61" i="2"/>
  <c r="L61" i="2"/>
  <c r="M61" i="2"/>
  <c r="P61" i="2"/>
  <c r="C62" i="2"/>
  <c r="D62" i="2"/>
  <c r="E62" i="2"/>
  <c r="F62" i="2"/>
  <c r="G62" i="2"/>
  <c r="H62" i="2"/>
  <c r="I62" i="2"/>
  <c r="J62" i="2"/>
  <c r="K62" i="2"/>
  <c r="L62" i="2"/>
  <c r="M62" i="2"/>
  <c r="P62" i="2"/>
  <c r="C63" i="2"/>
  <c r="D63" i="2"/>
  <c r="E63" i="2"/>
  <c r="F63" i="2"/>
  <c r="G63" i="2"/>
  <c r="H63" i="2"/>
  <c r="I63" i="2"/>
  <c r="J63" i="2"/>
  <c r="K63" i="2"/>
  <c r="L63" i="2"/>
  <c r="M63" i="2"/>
  <c r="P63" i="2"/>
  <c r="C64" i="2"/>
  <c r="D64" i="2"/>
  <c r="E64" i="2"/>
  <c r="F64" i="2"/>
  <c r="G64" i="2"/>
  <c r="H64" i="2"/>
  <c r="I64" i="2"/>
  <c r="J64" i="2"/>
  <c r="K64" i="2"/>
  <c r="L64" i="2"/>
  <c r="M64" i="2"/>
  <c r="P64" i="2"/>
  <c r="C65" i="2"/>
  <c r="D65" i="2"/>
  <c r="E65" i="2"/>
  <c r="F65" i="2"/>
  <c r="G65" i="2"/>
  <c r="H65" i="2"/>
  <c r="I65" i="2"/>
  <c r="J65" i="2"/>
  <c r="K65" i="2"/>
  <c r="L65" i="2"/>
  <c r="M65" i="2"/>
  <c r="P65" i="2"/>
  <c r="C66" i="2"/>
  <c r="D66" i="2"/>
  <c r="E66" i="2"/>
  <c r="F66" i="2"/>
  <c r="G66" i="2"/>
  <c r="H66" i="2"/>
  <c r="I66" i="2"/>
  <c r="J66" i="2"/>
  <c r="K66" i="2"/>
  <c r="L66" i="2"/>
  <c r="M66" i="2"/>
  <c r="P66" i="2"/>
  <c r="C67" i="2"/>
  <c r="D67" i="2"/>
  <c r="E67" i="2"/>
  <c r="F67" i="2"/>
  <c r="G67" i="2"/>
  <c r="H67" i="2"/>
  <c r="I67" i="2"/>
  <c r="J67" i="2"/>
  <c r="K67" i="2"/>
  <c r="L67" i="2"/>
  <c r="M67" i="2"/>
  <c r="P67" i="2"/>
  <c r="C68" i="2"/>
  <c r="D68" i="2"/>
  <c r="E68" i="2"/>
  <c r="F68" i="2"/>
  <c r="G68" i="2"/>
  <c r="H68" i="2"/>
  <c r="I68" i="2"/>
  <c r="J68" i="2"/>
  <c r="K68" i="2"/>
  <c r="L68" i="2"/>
  <c r="M68" i="2"/>
  <c r="P68" i="2"/>
  <c r="C69" i="2"/>
  <c r="D69" i="2"/>
  <c r="E69" i="2"/>
  <c r="F69" i="2"/>
  <c r="G69" i="2"/>
  <c r="H69" i="2"/>
  <c r="I69" i="2"/>
  <c r="J69" i="2"/>
  <c r="K69" i="2"/>
  <c r="L69" i="2"/>
  <c r="M69" i="2"/>
  <c r="P69" i="2"/>
  <c r="C70" i="2"/>
  <c r="D70" i="2"/>
  <c r="E70" i="2"/>
  <c r="F70" i="2"/>
  <c r="G70" i="2"/>
  <c r="H70" i="2"/>
  <c r="I70" i="2"/>
  <c r="J70" i="2"/>
  <c r="K70" i="2"/>
  <c r="L70" i="2"/>
  <c r="M70" i="2"/>
  <c r="P70" i="2"/>
  <c r="C71" i="2"/>
  <c r="D71" i="2"/>
  <c r="E71" i="2"/>
  <c r="F71" i="2"/>
  <c r="G71" i="2"/>
  <c r="H71" i="2"/>
  <c r="I71" i="2"/>
  <c r="J71" i="2"/>
  <c r="K71" i="2"/>
  <c r="L71" i="2"/>
  <c r="M71" i="2"/>
  <c r="P71" i="2"/>
  <c r="B62" i="2"/>
  <c r="B63" i="2"/>
  <c r="B64" i="2"/>
  <c r="B65" i="2"/>
  <c r="B66" i="2"/>
  <c r="B67" i="2"/>
  <c r="B68" i="2"/>
  <c r="B69" i="2"/>
  <c r="B70" i="2"/>
  <c r="B71" i="2"/>
  <c r="Y38" i="2"/>
  <c r="Z38" i="2"/>
  <c r="Y39" i="2"/>
  <c r="Z39" i="2"/>
  <c r="Y40" i="2"/>
  <c r="Z40" i="2"/>
  <c r="Y41" i="2"/>
  <c r="Z41" i="2"/>
  <c r="Y42" i="2"/>
  <c r="Z42" i="2"/>
  <c r="Y43" i="2"/>
  <c r="Z43" i="2"/>
  <c r="Y44" i="2"/>
  <c r="Z44" i="2"/>
  <c r="Y45" i="2"/>
  <c r="Z45" i="2"/>
  <c r="Y46" i="2"/>
  <c r="Z46" i="2"/>
  <c r="Y47" i="2"/>
  <c r="Z47" i="2"/>
  <c r="Y48" i="2"/>
  <c r="Z48" i="2"/>
  <c r="Y49" i="2"/>
  <c r="Z49" i="2"/>
  <c r="Y50" i="2"/>
  <c r="Z50" i="2"/>
  <c r="Y51" i="2"/>
  <c r="Z51" i="2"/>
  <c r="Y52" i="2"/>
  <c r="Z52" i="2"/>
  <c r="Y53" i="2"/>
  <c r="Z53" i="2"/>
  <c r="C38" i="2"/>
  <c r="D38" i="2"/>
  <c r="E38" i="2"/>
  <c r="F38" i="2"/>
  <c r="G38" i="2"/>
  <c r="H38" i="2"/>
  <c r="I38" i="2"/>
  <c r="J38" i="2"/>
  <c r="K38" i="2"/>
  <c r="L38" i="2"/>
  <c r="M38" i="2"/>
  <c r="O38" i="2"/>
  <c r="P38" i="2"/>
  <c r="Q38" i="2"/>
  <c r="R38" i="2"/>
  <c r="S38" i="2"/>
  <c r="T38" i="2"/>
  <c r="U38" i="2"/>
  <c r="V38" i="2"/>
  <c r="W38" i="2"/>
  <c r="X38" i="2"/>
  <c r="C39" i="2"/>
  <c r="D39" i="2"/>
  <c r="E39" i="2"/>
  <c r="F39" i="2"/>
  <c r="G39" i="2"/>
  <c r="H39" i="2"/>
  <c r="I39" i="2"/>
  <c r="J39" i="2"/>
  <c r="K39" i="2"/>
  <c r="L39" i="2"/>
  <c r="M39" i="2"/>
  <c r="O39" i="2"/>
  <c r="P39" i="2"/>
  <c r="Q39" i="2"/>
  <c r="R39" i="2"/>
  <c r="S39" i="2"/>
  <c r="T39" i="2"/>
  <c r="U39" i="2"/>
  <c r="V39" i="2"/>
  <c r="W39" i="2"/>
  <c r="X39" i="2"/>
  <c r="C40" i="2"/>
  <c r="D40" i="2"/>
  <c r="E40" i="2"/>
  <c r="F40" i="2"/>
  <c r="G40" i="2"/>
  <c r="H40" i="2"/>
  <c r="I40" i="2"/>
  <c r="J40" i="2"/>
  <c r="K40" i="2"/>
  <c r="L40" i="2"/>
  <c r="M40" i="2"/>
  <c r="O40" i="2"/>
  <c r="P40" i="2"/>
  <c r="Q40" i="2"/>
  <c r="R40" i="2"/>
  <c r="S40" i="2"/>
  <c r="T40" i="2"/>
  <c r="U40" i="2"/>
  <c r="V40" i="2"/>
  <c r="W40" i="2"/>
  <c r="X40" i="2"/>
  <c r="C41" i="2"/>
  <c r="D41" i="2"/>
  <c r="E41" i="2"/>
  <c r="F41" i="2"/>
  <c r="G41" i="2"/>
  <c r="H41" i="2"/>
  <c r="I41" i="2"/>
  <c r="J41" i="2"/>
  <c r="K41" i="2"/>
  <c r="L41" i="2"/>
  <c r="M41" i="2"/>
  <c r="O41" i="2"/>
  <c r="P41" i="2"/>
  <c r="Q41" i="2"/>
  <c r="R41" i="2"/>
  <c r="S41" i="2"/>
  <c r="T41" i="2"/>
  <c r="U41" i="2"/>
  <c r="V41" i="2"/>
  <c r="W41" i="2"/>
  <c r="X41" i="2"/>
  <c r="C42" i="2"/>
  <c r="D42" i="2"/>
  <c r="E42" i="2"/>
  <c r="F42" i="2"/>
  <c r="G42" i="2"/>
  <c r="H42" i="2"/>
  <c r="I42" i="2"/>
  <c r="J42" i="2"/>
  <c r="K42" i="2"/>
  <c r="L42" i="2"/>
  <c r="M42" i="2"/>
  <c r="O42" i="2"/>
  <c r="P42" i="2"/>
  <c r="Q42" i="2"/>
  <c r="R42" i="2"/>
  <c r="S42" i="2"/>
  <c r="T42" i="2"/>
  <c r="U42" i="2"/>
  <c r="V42" i="2"/>
  <c r="W42" i="2"/>
  <c r="X42" i="2"/>
  <c r="C43" i="2"/>
  <c r="D43" i="2"/>
  <c r="E43" i="2"/>
  <c r="F43" i="2"/>
  <c r="G43" i="2"/>
  <c r="H43" i="2"/>
  <c r="I43" i="2"/>
  <c r="J43" i="2"/>
  <c r="K43" i="2"/>
  <c r="L43" i="2"/>
  <c r="M43" i="2"/>
  <c r="O43" i="2"/>
  <c r="P43" i="2"/>
  <c r="Q43" i="2"/>
  <c r="R43" i="2"/>
  <c r="S43" i="2"/>
  <c r="T43" i="2"/>
  <c r="U43" i="2"/>
  <c r="V43" i="2"/>
  <c r="W43" i="2"/>
  <c r="X43" i="2"/>
  <c r="C44" i="2"/>
  <c r="D44" i="2"/>
  <c r="E44" i="2"/>
  <c r="F44" i="2"/>
  <c r="G44" i="2"/>
  <c r="H44" i="2"/>
  <c r="I44" i="2"/>
  <c r="J44" i="2"/>
  <c r="K44" i="2"/>
  <c r="L44" i="2"/>
  <c r="M44" i="2"/>
  <c r="O44" i="2"/>
  <c r="P44" i="2"/>
  <c r="Q44" i="2"/>
  <c r="R44" i="2"/>
  <c r="S44" i="2"/>
  <c r="T44" i="2"/>
  <c r="U44" i="2"/>
  <c r="V44" i="2"/>
  <c r="W44" i="2"/>
  <c r="X44" i="2"/>
  <c r="C45" i="2"/>
  <c r="D45" i="2"/>
  <c r="E45" i="2"/>
  <c r="F45" i="2"/>
  <c r="G45" i="2"/>
  <c r="H45" i="2"/>
  <c r="I45" i="2"/>
  <c r="J45" i="2"/>
  <c r="K45" i="2"/>
  <c r="L45" i="2"/>
  <c r="M45" i="2"/>
  <c r="O45" i="2"/>
  <c r="P45" i="2"/>
  <c r="Q45" i="2"/>
  <c r="R45" i="2"/>
  <c r="S45" i="2"/>
  <c r="T45" i="2"/>
  <c r="U45" i="2"/>
  <c r="V45" i="2"/>
  <c r="W45" i="2"/>
  <c r="X45" i="2"/>
  <c r="C46" i="2"/>
  <c r="D46" i="2"/>
  <c r="E46" i="2"/>
  <c r="F46" i="2"/>
  <c r="G46" i="2"/>
  <c r="H46" i="2"/>
  <c r="I46" i="2"/>
  <c r="J46" i="2"/>
  <c r="K46" i="2"/>
  <c r="L46" i="2"/>
  <c r="M46" i="2"/>
  <c r="O46" i="2"/>
  <c r="P46" i="2"/>
  <c r="Q46" i="2"/>
  <c r="R46" i="2"/>
  <c r="S46" i="2"/>
  <c r="T46" i="2"/>
  <c r="U46" i="2"/>
  <c r="V46" i="2"/>
  <c r="W46" i="2"/>
  <c r="X46" i="2"/>
  <c r="C47" i="2"/>
  <c r="D47" i="2"/>
  <c r="E47" i="2"/>
  <c r="F47" i="2"/>
  <c r="G47" i="2"/>
  <c r="H47" i="2"/>
  <c r="I47" i="2"/>
  <c r="J47" i="2"/>
  <c r="K47" i="2"/>
  <c r="L47" i="2"/>
  <c r="M47" i="2"/>
  <c r="O47" i="2"/>
  <c r="P47" i="2"/>
  <c r="Q47" i="2"/>
  <c r="R47" i="2"/>
  <c r="S47" i="2"/>
  <c r="T47" i="2"/>
  <c r="U47" i="2"/>
  <c r="V47" i="2"/>
  <c r="W47" i="2"/>
  <c r="X47" i="2"/>
  <c r="C48" i="2"/>
  <c r="D48" i="2"/>
  <c r="E48" i="2"/>
  <c r="F48" i="2"/>
  <c r="G48" i="2"/>
  <c r="H48" i="2"/>
  <c r="I48" i="2"/>
  <c r="J48" i="2"/>
  <c r="K48" i="2"/>
  <c r="L48" i="2"/>
  <c r="M48" i="2"/>
  <c r="O48" i="2"/>
  <c r="P48" i="2"/>
  <c r="Q48" i="2"/>
  <c r="R48" i="2"/>
  <c r="S48" i="2"/>
  <c r="T48" i="2"/>
  <c r="U48" i="2"/>
  <c r="V48" i="2"/>
  <c r="W48" i="2"/>
  <c r="X48" i="2"/>
  <c r="C49" i="2"/>
  <c r="D49" i="2"/>
  <c r="E49" i="2"/>
  <c r="F49" i="2"/>
  <c r="G49" i="2"/>
  <c r="H49" i="2"/>
  <c r="I49" i="2"/>
  <c r="J49" i="2"/>
  <c r="K49" i="2"/>
  <c r="L49" i="2"/>
  <c r="M49" i="2"/>
  <c r="O49" i="2"/>
  <c r="P49" i="2"/>
  <c r="Q49" i="2"/>
  <c r="R49" i="2"/>
  <c r="S49" i="2"/>
  <c r="T49" i="2"/>
  <c r="U49" i="2"/>
  <c r="V49" i="2"/>
  <c r="W49" i="2"/>
  <c r="X49" i="2"/>
  <c r="C50" i="2"/>
  <c r="D50" i="2"/>
  <c r="E50" i="2"/>
  <c r="F50" i="2"/>
  <c r="G50" i="2"/>
  <c r="H50" i="2"/>
  <c r="I50" i="2"/>
  <c r="J50" i="2"/>
  <c r="K50" i="2"/>
  <c r="L50" i="2"/>
  <c r="M50" i="2"/>
  <c r="O50" i="2"/>
  <c r="P50" i="2"/>
  <c r="Q50" i="2"/>
  <c r="R50" i="2"/>
  <c r="S50" i="2"/>
  <c r="T50" i="2"/>
  <c r="U50" i="2"/>
  <c r="V50" i="2"/>
  <c r="W50" i="2"/>
  <c r="X50" i="2"/>
  <c r="C51" i="2"/>
  <c r="D51" i="2"/>
  <c r="E51" i="2"/>
  <c r="F51" i="2"/>
  <c r="G51" i="2"/>
  <c r="H51" i="2"/>
  <c r="I51" i="2"/>
  <c r="J51" i="2"/>
  <c r="K51" i="2"/>
  <c r="L51" i="2"/>
  <c r="M51" i="2"/>
  <c r="O51" i="2"/>
  <c r="P51" i="2"/>
  <c r="Q51" i="2"/>
  <c r="R51" i="2"/>
  <c r="S51" i="2"/>
  <c r="T51" i="2"/>
  <c r="U51" i="2"/>
  <c r="V51" i="2"/>
  <c r="W51" i="2"/>
  <c r="X51" i="2"/>
  <c r="C52" i="2"/>
  <c r="D52" i="2"/>
  <c r="E52" i="2"/>
  <c r="F52" i="2"/>
  <c r="G52" i="2"/>
  <c r="H52" i="2"/>
  <c r="I52" i="2"/>
  <c r="J52" i="2"/>
  <c r="K52" i="2"/>
  <c r="L52" i="2"/>
  <c r="M52" i="2"/>
  <c r="O52" i="2"/>
  <c r="P52" i="2"/>
  <c r="Q52" i="2"/>
  <c r="R52" i="2"/>
  <c r="S52" i="2"/>
  <c r="T52" i="2"/>
  <c r="U52" i="2"/>
  <c r="V52" i="2"/>
  <c r="W52" i="2"/>
  <c r="X52" i="2"/>
  <c r="C53" i="2"/>
  <c r="D53" i="2"/>
  <c r="E53" i="2"/>
  <c r="F53" i="2"/>
  <c r="G53" i="2"/>
  <c r="H53" i="2"/>
  <c r="I53" i="2"/>
  <c r="J53" i="2"/>
  <c r="K53" i="2"/>
  <c r="L53" i="2"/>
  <c r="M53" i="2"/>
  <c r="O53" i="2"/>
  <c r="P53" i="2"/>
  <c r="Q53" i="2"/>
  <c r="R53" i="2"/>
  <c r="S53" i="2"/>
  <c r="T53" i="2"/>
  <c r="U53" i="2"/>
  <c r="V53" i="2"/>
  <c r="W53" i="2"/>
  <c r="X53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6" i="2"/>
  <c r="B57" i="2"/>
  <c r="B58" i="2"/>
  <c r="B59" i="2"/>
  <c r="B60" i="2"/>
  <c r="B61" i="2"/>
  <c r="Q20" i="2"/>
  <c r="R20" i="2"/>
  <c r="S20" i="2"/>
  <c r="T20" i="2"/>
  <c r="U20" i="2"/>
  <c r="V20" i="2"/>
  <c r="W20" i="2"/>
  <c r="X20" i="2"/>
  <c r="Y20" i="2"/>
  <c r="Z20" i="2"/>
  <c r="Q21" i="2"/>
  <c r="R21" i="2"/>
  <c r="S21" i="2"/>
  <c r="T21" i="2"/>
  <c r="U21" i="2"/>
  <c r="V21" i="2"/>
  <c r="W21" i="2"/>
  <c r="X21" i="2"/>
  <c r="Y21" i="2"/>
  <c r="Z21" i="2"/>
  <c r="Q22" i="2"/>
  <c r="R22" i="2"/>
  <c r="S22" i="2"/>
  <c r="T22" i="2"/>
  <c r="U22" i="2"/>
  <c r="V22" i="2"/>
  <c r="W22" i="2"/>
  <c r="X22" i="2"/>
  <c r="Y22" i="2"/>
  <c r="Z22" i="2"/>
  <c r="Q23" i="2"/>
  <c r="R23" i="2"/>
  <c r="S23" i="2"/>
  <c r="T23" i="2"/>
  <c r="U23" i="2"/>
  <c r="V23" i="2"/>
  <c r="W23" i="2"/>
  <c r="X23" i="2"/>
  <c r="Y23" i="2"/>
  <c r="Z23" i="2"/>
  <c r="Q24" i="2"/>
  <c r="R24" i="2"/>
  <c r="S24" i="2"/>
  <c r="T24" i="2"/>
  <c r="U24" i="2"/>
  <c r="V24" i="2"/>
  <c r="W24" i="2"/>
  <c r="X24" i="2"/>
  <c r="Y24" i="2"/>
  <c r="Z24" i="2"/>
  <c r="Q25" i="2"/>
  <c r="R25" i="2"/>
  <c r="S25" i="2"/>
  <c r="T25" i="2"/>
  <c r="U25" i="2"/>
  <c r="V25" i="2"/>
  <c r="W25" i="2"/>
  <c r="X25" i="2"/>
  <c r="Y25" i="2"/>
  <c r="Z25" i="2"/>
  <c r="Q26" i="2"/>
  <c r="R26" i="2"/>
  <c r="S26" i="2"/>
  <c r="T26" i="2"/>
  <c r="U26" i="2"/>
  <c r="V26" i="2"/>
  <c r="W26" i="2"/>
  <c r="X26" i="2"/>
  <c r="Y26" i="2"/>
  <c r="Z26" i="2"/>
  <c r="Q27" i="2"/>
  <c r="R27" i="2"/>
  <c r="S27" i="2"/>
  <c r="T27" i="2"/>
  <c r="U27" i="2"/>
  <c r="V27" i="2"/>
  <c r="W27" i="2"/>
  <c r="X27" i="2"/>
  <c r="Y27" i="2"/>
  <c r="Z27" i="2"/>
  <c r="Q28" i="2"/>
  <c r="R28" i="2"/>
  <c r="S28" i="2"/>
  <c r="T28" i="2"/>
  <c r="U28" i="2"/>
  <c r="V28" i="2"/>
  <c r="W28" i="2"/>
  <c r="X28" i="2"/>
  <c r="Y28" i="2"/>
  <c r="Z28" i="2"/>
  <c r="Q29" i="2"/>
  <c r="R29" i="2"/>
  <c r="S29" i="2"/>
  <c r="T29" i="2"/>
  <c r="U29" i="2"/>
  <c r="V29" i="2"/>
  <c r="W29" i="2"/>
  <c r="X29" i="2"/>
  <c r="Y29" i="2"/>
  <c r="Z29" i="2"/>
  <c r="Q30" i="2"/>
  <c r="R30" i="2"/>
  <c r="S30" i="2"/>
  <c r="T30" i="2"/>
  <c r="U30" i="2"/>
  <c r="V30" i="2"/>
  <c r="W30" i="2"/>
  <c r="X30" i="2"/>
  <c r="Y30" i="2"/>
  <c r="Z30" i="2"/>
  <c r="Q31" i="2"/>
  <c r="R31" i="2"/>
  <c r="S31" i="2"/>
  <c r="T31" i="2"/>
  <c r="U31" i="2"/>
  <c r="V31" i="2"/>
  <c r="W31" i="2"/>
  <c r="X31" i="2"/>
  <c r="Y31" i="2"/>
  <c r="Z31" i="2"/>
  <c r="Q32" i="2"/>
  <c r="R32" i="2"/>
  <c r="S32" i="2"/>
  <c r="T32" i="2"/>
  <c r="U32" i="2"/>
  <c r="V32" i="2"/>
  <c r="W32" i="2"/>
  <c r="X32" i="2"/>
  <c r="Y32" i="2"/>
  <c r="Z32" i="2"/>
  <c r="Q33" i="2"/>
  <c r="R33" i="2"/>
  <c r="S33" i="2"/>
  <c r="T33" i="2"/>
  <c r="U33" i="2"/>
  <c r="V33" i="2"/>
  <c r="W33" i="2"/>
  <c r="X33" i="2"/>
  <c r="Y33" i="2"/>
  <c r="Z33" i="2"/>
  <c r="Q34" i="2"/>
  <c r="R34" i="2"/>
  <c r="S34" i="2"/>
  <c r="T34" i="2"/>
  <c r="U34" i="2"/>
  <c r="V34" i="2"/>
  <c r="W34" i="2"/>
  <c r="X34" i="2"/>
  <c r="Y34" i="2"/>
  <c r="Z34" i="2"/>
  <c r="Q35" i="2"/>
  <c r="R35" i="2"/>
  <c r="S35" i="2"/>
  <c r="T35" i="2"/>
  <c r="U35" i="2"/>
  <c r="V35" i="2"/>
  <c r="W35" i="2"/>
  <c r="X35" i="2"/>
  <c r="Y35" i="2"/>
  <c r="Z35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O33" i="2"/>
  <c r="P33" i="2"/>
  <c r="O34" i="2"/>
  <c r="P34" i="2"/>
  <c r="O35" i="2"/>
  <c r="P35" i="2"/>
  <c r="C20" i="2"/>
  <c r="D20" i="2"/>
  <c r="E20" i="2"/>
  <c r="F20" i="2"/>
  <c r="G20" i="2"/>
  <c r="H20" i="2"/>
  <c r="I20" i="2"/>
  <c r="J20" i="2"/>
  <c r="K20" i="2"/>
  <c r="L20" i="2"/>
  <c r="M20" i="2"/>
  <c r="C21" i="2"/>
  <c r="D21" i="2"/>
  <c r="E21" i="2"/>
  <c r="F21" i="2"/>
  <c r="G21" i="2"/>
  <c r="H21" i="2"/>
  <c r="I21" i="2"/>
  <c r="J21" i="2"/>
  <c r="K21" i="2"/>
  <c r="L21" i="2"/>
  <c r="M21" i="2"/>
  <c r="C22" i="2"/>
  <c r="D22" i="2"/>
  <c r="E22" i="2"/>
  <c r="F22" i="2"/>
  <c r="G22" i="2"/>
  <c r="H22" i="2"/>
  <c r="I22" i="2"/>
  <c r="J22" i="2"/>
  <c r="K22" i="2"/>
  <c r="L22" i="2"/>
  <c r="M22" i="2"/>
  <c r="C23" i="2"/>
  <c r="D23" i="2"/>
  <c r="E23" i="2"/>
  <c r="F23" i="2"/>
  <c r="G23" i="2"/>
  <c r="H23" i="2"/>
  <c r="I23" i="2"/>
  <c r="J23" i="2"/>
  <c r="K23" i="2"/>
  <c r="L23" i="2"/>
  <c r="M23" i="2"/>
  <c r="C24" i="2"/>
  <c r="D24" i="2"/>
  <c r="E24" i="2"/>
  <c r="F24" i="2"/>
  <c r="G24" i="2"/>
  <c r="H24" i="2"/>
  <c r="I24" i="2"/>
  <c r="J24" i="2"/>
  <c r="K24" i="2"/>
  <c r="L24" i="2"/>
  <c r="M24" i="2"/>
  <c r="C25" i="2"/>
  <c r="D25" i="2"/>
  <c r="E25" i="2"/>
  <c r="F25" i="2"/>
  <c r="G25" i="2"/>
  <c r="H25" i="2"/>
  <c r="I25" i="2"/>
  <c r="J25" i="2"/>
  <c r="K25" i="2"/>
  <c r="L25" i="2"/>
  <c r="M25" i="2"/>
  <c r="C26" i="2"/>
  <c r="D26" i="2"/>
  <c r="E26" i="2"/>
  <c r="F26" i="2"/>
  <c r="G26" i="2"/>
  <c r="H26" i="2"/>
  <c r="I26" i="2"/>
  <c r="J26" i="2"/>
  <c r="K26" i="2"/>
  <c r="L26" i="2"/>
  <c r="M26" i="2"/>
  <c r="C27" i="2"/>
  <c r="D27" i="2"/>
  <c r="E27" i="2"/>
  <c r="F27" i="2"/>
  <c r="G27" i="2"/>
  <c r="H27" i="2"/>
  <c r="I27" i="2"/>
  <c r="J27" i="2"/>
  <c r="K27" i="2"/>
  <c r="L27" i="2"/>
  <c r="M27" i="2"/>
  <c r="C28" i="2"/>
  <c r="D28" i="2"/>
  <c r="E28" i="2"/>
  <c r="F28" i="2"/>
  <c r="G28" i="2"/>
  <c r="H28" i="2"/>
  <c r="I28" i="2"/>
  <c r="J28" i="2"/>
  <c r="K28" i="2"/>
  <c r="L28" i="2"/>
  <c r="M28" i="2"/>
  <c r="C29" i="2"/>
  <c r="D29" i="2"/>
  <c r="E29" i="2"/>
  <c r="F29" i="2"/>
  <c r="G29" i="2"/>
  <c r="H29" i="2"/>
  <c r="I29" i="2"/>
  <c r="J29" i="2"/>
  <c r="K29" i="2"/>
  <c r="L29" i="2"/>
  <c r="M29" i="2"/>
  <c r="C30" i="2"/>
  <c r="D30" i="2"/>
  <c r="E30" i="2"/>
  <c r="F30" i="2"/>
  <c r="G30" i="2"/>
  <c r="H30" i="2"/>
  <c r="I30" i="2"/>
  <c r="J30" i="2"/>
  <c r="K30" i="2"/>
  <c r="L30" i="2"/>
  <c r="M30" i="2"/>
  <c r="C31" i="2"/>
  <c r="D31" i="2"/>
  <c r="E31" i="2"/>
  <c r="F31" i="2"/>
  <c r="G31" i="2"/>
  <c r="H31" i="2"/>
  <c r="I31" i="2"/>
  <c r="J31" i="2"/>
  <c r="K31" i="2"/>
  <c r="L31" i="2"/>
  <c r="M31" i="2"/>
  <c r="C32" i="2"/>
  <c r="D32" i="2"/>
  <c r="E32" i="2"/>
  <c r="F32" i="2"/>
  <c r="G32" i="2"/>
  <c r="H32" i="2"/>
  <c r="I32" i="2"/>
  <c r="J32" i="2"/>
  <c r="K32" i="2"/>
  <c r="L32" i="2"/>
  <c r="M32" i="2"/>
  <c r="C33" i="2"/>
  <c r="D33" i="2"/>
  <c r="E33" i="2"/>
  <c r="F33" i="2"/>
  <c r="G33" i="2"/>
  <c r="H33" i="2"/>
  <c r="I33" i="2"/>
  <c r="J33" i="2"/>
  <c r="K33" i="2"/>
  <c r="L33" i="2"/>
  <c r="M33" i="2"/>
  <c r="C34" i="2"/>
  <c r="D34" i="2"/>
  <c r="E34" i="2"/>
  <c r="F34" i="2"/>
  <c r="G34" i="2"/>
  <c r="H34" i="2"/>
  <c r="I34" i="2"/>
  <c r="J34" i="2"/>
  <c r="K34" i="2"/>
  <c r="L34" i="2"/>
  <c r="M34" i="2"/>
  <c r="C35" i="2"/>
  <c r="D35" i="2"/>
  <c r="E35" i="2"/>
  <c r="F35" i="2"/>
  <c r="G35" i="2"/>
  <c r="H35" i="2"/>
  <c r="I35" i="2"/>
  <c r="J35" i="2"/>
  <c r="K35" i="2"/>
  <c r="L35" i="2"/>
  <c r="M35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8" i="2"/>
  <c r="B39" i="2"/>
  <c r="B40" i="2"/>
  <c r="B20" i="2"/>
  <c r="P2" i="2"/>
  <c r="Q2" i="2"/>
  <c r="R2" i="2"/>
  <c r="S2" i="2"/>
  <c r="T2" i="2"/>
  <c r="U2" i="2"/>
  <c r="V2" i="2"/>
  <c r="W2" i="2"/>
  <c r="X2" i="2"/>
  <c r="Y2" i="2"/>
  <c r="Z2" i="2"/>
  <c r="P3" i="2"/>
  <c r="Q3" i="2"/>
  <c r="R3" i="2"/>
  <c r="S3" i="2"/>
  <c r="T3" i="2"/>
  <c r="U3" i="2"/>
  <c r="V3" i="2"/>
  <c r="W3" i="2"/>
  <c r="X3" i="2"/>
  <c r="Y3" i="2"/>
  <c r="Z3" i="2"/>
  <c r="P4" i="2"/>
  <c r="Q4" i="2"/>
  <c r="R4" i="2"/>
  <c r="S4" i="2"/>
  <c r="T4" i="2"/>
  <c r="U4" i="2"/>
  <c r="V4" i="2"/>
  <c r="W4" i="2"/>
  <c r="X4" i="2"/>
  <c r="Y4" i="2"/>
  <c r="Z4" i="2"/>
  <c r="P5" i="2"/>
  <c r="Q5" i="2"/>
  <c r="R5" i="2"/>
  <c r="S5" i="2"/>
  <c r="T5" i="2"/>
  <c r="U5" i="2"/>
  <c r="V5" i="2"/>
  <c r="W5" i="2"/>
  <c r="X5" i="2"/>
  <c r="Y5" i="2"/>
  <c r="Z5" i="2"/>
  <c r="P6" i="2"/>
  <c r="Q6" i="2"/>
  <c r="R6" i="2"/>
  <c r="S6" i="2"/>
  <c r="T6" i="2"/>
  <c r="U6" i="2"/>
  <c r="V6" i="2"/>
  <c r="W6" i="2"/>
  <c r="X6" i="2"/>
  <c r="Y6" i="2"/>
  <c r="Z6" i="2"/>
  <c r="P7" i="2"/>
  <c r="Q7" i="2"/>
  <c r="R7" i="2"/>
  <c r="S7" i="2"/>
  <c r="T7" i="2"/>
  <c r="U7" i="2"/>
  <c r="V7" i="2"/>
  <c r="W7" i="2"/>
  <c r="X7" i="2"/>
  <c r="Y7" i="2"/>
  <c r="Z7" i="2"/>
  <c r="P8" i="2"/>
  <c r="Q8" i="2"/>
  <c r="R8" i="2"/>
  <c r="S8" i="2"/>
  <c r="T8" i="2"/>
  <c r="U8" i="2"/>
  <c r="V8" i="2"/>
  <c r="W8" i="2"/>
  <c r="X8" i="2"/>
  <c r="Y8" i="2"/>
  <c r="Z8" i="2"/>
  <c r="P9" i="2"/>
  <c r="Q9" i="2"/>
  <c r="R9" i="2"/>
  <c r="S9" i="2"/>
  <c r="T9" i="2"/>
  <c r="U9" i="2"/>
  <c r="V9" i="2"/>
  <c r="W9" i="2"/>
  <c r="X9" i="2"/>
  <c r="Y9" i="2"/>
  <c r="Z9" i="2"/>
  <c r="P10" i="2"/>
  <c r="Q10" i="2"/>
  <c r="R10" i="2"/>
  <c r="S10" i="2"/>
  <c r="T10" i="2"/>
  <c r="U10" i="2"/>
  <c r="V10" i="2"/>
  <c r="W10" i="2"/>
  <c r="X10" i="2"/>
  <c r="Y10" i="2"/>
  <c r="Z10" i="2"/>
  <c r="P11" i="2"/>
  <c r="Q11" i="2"/>
  <c r="R11" i="2"/>
  <c r="S11" i="2"/>
  <c r="T11" i="2"/>
  <c r="U11" i="2"/>
  <c r="V11" i="2"/>
  <c r="W11" i="2"/>
  <c r="X11" i="2"/>
  <c r="Y11" i="2"/>
  <c r="Z11" i="2"/>
  <c r="P12" i="2"/>
  <c r="Q12" i="2"/>
  <c r="R12" i="2"/>
  <c r="S12" i="2"/>
  <c r="T12" i="2"/>
  <c r="U12" i="2"/>
  <c r="V12" i="2"/>
  <c r="W12" i="2"/>
  <c r="X12" i="2"/>
  <c r="Y12" i="2"/>
  <c r="Z12" i="2"/>
  <c r="P13" i="2"/>
  <c r="Q13" i="2"/>
  <c r="R13" i="2"/>
  <c r="S13" i="2"/>
  <c r="T13" i="2"/>
  <c r="U13" i="2"/>
  <c r="V13" i="2"/>
  <c r="W13" i="2"/>
  <c r="X13" i="2"/>
  <c r="Y13" i="2"/>
  <c r="Z13" i="2"/>
  <c r="P14" i="2"/>
  <c r="Q14" i="2"/>
  <c r="R14" i="2"/>
  <c r="S14" i="2"/>
  <c r="T14" i="2"/>
  <c r="U14" i="2"/>
  <c r="V14" i="2"/>
  <c r="W14" i="2"/>
  <c r="X14" i="2"/>
  <c r="Y14" i="2"/>
  <c r="Z14" i="2"/>
  <c r="P15" i="2"/>
  <c r="Q15" i="2"/>
  <c r="R15" i="2"/>
  <c r="S15" i="2"/>
  <c r="T15" i="2"/>
  <c r="U15" i="2"/>
  <c r="V15" i="2"/>
  <c r="W15" i="2"/>
  <c r="X15" i="2"/>
  <c r="Y15" i="2"/>
  <c r="Z15" i="2"/>
  <c r="P16" i="2"/>
  <c r="Q16" i="2"/>
  <c r="R16" i="2"/>
  <c r="S16" i="2"/>
  <c r="T16" i="2"/>
  <c r="U16" i="2"/>
  <c r="V16" i="2"/>
  <c r="W16" i="2"/>
  <c r="X16" i="2"/>
  <c r="Y16" i="2"/>
  <c r="Z16" i="2"/>
  <c r="P17" i="2"/>
  <c r="Q17" i="2"/>
  <c r="R17" i="2"/>
  <c r="S17" i="2"/>
  <c r="T17" i="2"/>
  <c r="U17" i="2"/>
  <c r="V17" i="2"/>
  <c r="W17" i="2"/>
  <c r="X17" i="2"/>
  <c r="Y17" i="2"/>
  <c r="Z17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2" i="2"/>
  <c r="B11" i="2"/>
  <c r="C11" i="2"/>
  <c r="D11" i="2"/>
  <c r="E11" i="2"/>
  <c r="F11" i="2"/>
  <c r="G11" i="2"/>
  <c r="H11" i="2"/>
  <c r="I11" i="2"/>
  <c r="J11" i="2"/>
  <c r="K11" i="2"/>
  <c r="L11" i="2"/>
  <c r="M11" i="2"/>
  <c r="B12" i="2"/>
  <c r="C12" i="2"/>
  <c r="D12" i="2"/>
  <c r="E12" i="2"/>
  <c r="F12" i="2"/>
  <c r="G12" i="2"/>
  <c r="H12" i="2"/>
  <c r="I12" i="2"/>
  <c r="J12" i="2"/>
  <c r="K12" i="2"/>
  <c r="L12" i="2"/>
  <c r="M12" i="2"/>
  <c r="B13" i="2"/>
  <c r="C13" i="2"/>
  <c r="D13" i="2"/>
  <c r="E13" i="2"/>
  <c r="F13" i="2"/>
  <c r="G13" i="2"/>
  <c r="H13" i="2"/>
  <c r="I13" i="2"/>
  <c r="J13" i="2"/>
  <c r="K13" i="2"/>
  <c r="L13" i="2"/>
  <c r="M13" i="2"/>
  <c r="B14" i="2"/>
  <c r="C14" i="2"/>
  <c r="D14" i="2"/>
  <c r="E14" i="2"/>
  <c r="F14" i="2"/>
  <c r="G14" i="2"/>
  <c r="H14" i="2"/>
  <c r="I14" i="2"/>
  <c r="J14" i="2"/>
  <c r="K14" i="2"/>
  <c r="L14" i="2"/>
  <c r="M14" i="2"/>
  <c r="B15" i="2"/>
  <c r="C15" i="2"/>
  <c r="D15" i="2"/>
  <c r="E15" i="2"/>
  <c r="F15" i="2"/>
  <c r="G15" i="2"/>
  <c r="H15" i="2"/>
  <c r="I15" i="2"/>
  <c r="J15" i="2"/>
  <c r="K15" i="2"/>
  <c r="L15" i="2"/>
  <c r="M15" i="2"/>
  <c r="B16" i="2"/>
  <c r="C16" i="2"/>
  <c r="D16" i="2"/>
  <c r="E16" i="2"/>
  <c r="F16" i="2"/>
  <c r="G16" i="2"/>
  <c r="H16" i="2"/>
  <c r="I16" i="2"/>
  <c r="J16" i="2"/>
  <c r="K16" i="2"/>
  <c r="L16" i="2"/>
  <c r="M16" i="2"/>
  <c r="B17" i="2"/>
  <c r="C17" i="2"/>
  <c r="D17" i="2"/>
  <c r="E17" i="2"/>
  <c r="F17" i="2"/>
  <c r="G17" i="2"/>
  <c r="H17" i="2"/>
  <c r="I17" i="2"/>
  <c r="J17" i="2"/>
  <c r="K17" i="2"/>
  <c r="L17" i="2"/>
  <c r="M17" i="2"/>
  <c r="B3" i="2"/>
  <c r="C3" i="2"/>
  <c r="D3" i="2"/>
  <c r="E3" i="2"/>
  <c r="F3" i="2"/>
  <c r="G3" i="2"/>
  <c r="H3" i="2"/>
  <c r="I3" i="2"/>
  <c r="J3" i="2"/>
  <c r="K3" i="2"/>
  <c r="L3" i="2"/>
  <c r="M3" i="2"/>
  <c r="B4" i="2"/>
  <c r="C4" i="2"/>
  <c r="D4" i="2"/>
  <c r="E4" i="2"/>
  <c r="F4" i="2"/>
  <c r="G4" i="2"/>
  <c r="H4" i="2"/>
  <c r="I4" i="2"/>
  <c r="J4" i="2"/>
  <c r="K4" i="2"/>
  <c r="L4" i="2"/>
  <c r="M4" i="2"/>
  <c r="B5" i="2"/>
  <c r="C5" i="2"/>
  <c r="D5" i="2"/>
  <c r="E5" i="2"/>
  <c r="F5" i="2"/>
  <c r="G5" i="2"/>
  <c r="H5" i="2"/>
  <c r="I5" i="2"/>
  <c r="J5" i="2"/>
  <c r="K5" i="2"/>
  <c r="L5" i="2"/>
  <c r="M5" i="2"/>
  <c r="B6" i="2"/>
  <c r="C6" i="2"/>
  <c r="D6" i="2"/>
  <c r="E6" i="2"/>
  <c r="F6" i="2"/>
  <c r="G6" i="2"/>
  <c r="H6" i="2"/>
  <c r="I6" i="2"/>
  <c r="J6" i="2"/>
  <c r="K6" i="2"/>
  <c r="L6" i="2"/>
  <c r="M6" i="2"/>
  <c r="B7" i="2"/>
  <c r="C7" i="2"/>
  <c r="D7" i="2"/>
  <c r="E7" i="2"/>
  <c r="F7" i="2"/>
  <c r="G7" i="2"/>
  <c r="H7" i="2"/>
  <c r="I7" i="2"/>
  <c r="J7" i="2"/>
  <c r="K7" i="2"/>
  <c r="L7" i="2"/>
  <c r="M7" i="2"/>
  <c r="B8" i="2"/>
  <c r="C8" i="2"/>
  <c r="D8" i="2"/>
  <c r="E8" i="2"/>
  <c r="F8" i="2"/>
  <c r="G8" i="2"/>
  <c r="H8" i="2"/>
  <c r="I8" i="2"/>
  <c r="J8" i="2"/>
  <c r="K8" i="2"/>
  <c r="L8" i="2"/>
  <c r="M8" i="2"/>
  <c r="B9" i="2"/>
  <c r="C9" i="2"/>
  <c r="D9" i="2"/>
  <c r="E9" i="2"/>
  <c r="F9" i="2"/>
  <c r="G9" i="2"/>
  <c r="H9" i="2"/>
  <c r="I9" i="2"/>
  <c r="J9" i="2"/>
  <c r="K9" i="2"/>
  <c r="L9" i="2"/>
  <c r="M9" i="2"/>
  <c r="B10" i="2"/>
  <c r="C10" i="2"/>
  <c r="D10" i="2"/>
  <c r="E10" i="2"/>
  <c r="F10" i="2"/>
  <c r="G10" i="2"/>
  <c r="H10" i="2"/>
  <c r="I10" i="2"/>
  <c r="J10" i="2"/>
  <c r="K10" i="2"/>
  <c r="L10" i="2"/>
  <c r="M10" i="2"/>
  <c r="C2" i="2"/>
  <c r="D2" i="2"/>
  <c r="E2" i="2"/>
  <c r="F2" i="2"/>
  <c r="G2" i="2"/>
  <c r="H2" i="2"/>
  <c r="I2" i="2"/>
  <c r="J2" i="2"/>
  <c r="K2" i="2"/>
  <c r="L2" i="2"/>
  <c r="M2" i="2"/>
  <c r="B2" i="2"/>
</calcChain>
</file>

<file path=xl/sharedStrings.xml><?xml version="1.0" encoding="utf-8"?>
<sst xmlns="http://schemas.openxmlformats.org/spreadsheetml/2006/main" count="354" uniqueCount="208">
  <si>
    <t xml:space="preserve">PM1.1 </t>
  </si>
  <si>
    <t>hours</t>
  </si>
  <si>
    <t>A</t>
  </si>
  <si>
    <t>B</t>
  </si>
  <si>
    <t>C</t>
  </si>
  <si>
    <t>D</t>
  </si>
  <si>
    <t>E</t>
  </si>
  <si>
    <t>F</t>
  </si>
  <si>
    <t>G</t>
  </si>
  <si>
    <t>H</t>
  </si>
  <si>
    <t xml:space="preserve">PM1.2 </t>
  </si>
  <si>
    <t>1.abiotic</t>
  </si>
  <si>
    <t>t0</t>
  </si>
  <si>
    <t>PM1.1</t>
  </si>
  <si>
    <t>PM1.2</t>
  </si>
  <si>
    <t>PM1.abiotic</t>
  </si>
  <si>
    <t>t2</t>
  </si>
  <si>
    <t>warn glaube ich 100 h</t>
  </si>
  <si>
    <t>-</t>
  </si>
  <si>
    <t>t1</t>
  </si>
  <si>
    <t>t3</t>
  </si>
  <si>
    <t>t4</t>
  </si>
  <si>
    <t>PM1</t>
  </si>
  <si>
    <t>biotic</t>
  </si>
  <si>
    <t>Ergebnisse</t>
  </si>
  <si>
    <t>Legende</t>
  </si>
  <si>
    <t>rot</t>
  </si>
  <si>
    <t>orange</t>
  </si>
  <si>
    <t>orange 2</t>
  </si>
  <si>
    <t>verworfen weil nicht einheitlich</t>
  </si>
  <si>
    <t>ungleich eergebnisse abe rbeo beiden wachstum</t>
  </si>
  <si>
    <t>vergleich mit t3 abiotic: reduzierung ohne biomasse</t>
  </si>
  <si>
    <t>Ergeniss: Vergleich Modell mit Test</t>
  </si>
  <si>
    <t>legende:</t>
  </si>
  <si>
    <t>Wachstum wurde angenommen wenn dye reduktion mit passendem Wachstum über 0,1 nach 72 h lag</t>
  </si>
  <si>
    <t xml:space="preserve">zum zeitpunkt keine eindeutige Entscheidung. </t>
  </si>
  <si>
    <t>Modell und Test stimmen in Wachstum überein</t>
  </si>
  <si>
    <t>Wachstum in Test, nicht in  Modell</t>
  </si>
  <si>
    <t>kein Wachstum in Test, Wachstum in Modell</t>
  </si>
  <si>
    <t>L-Arabinose</t>
  </si>
  <si>
    <t>A02</t>
  </si>
  <si>
    <t>B07</t>
  </si>
  <si>
    <t>DL-a-Glycerol Phosphate</t>
  </si>
  <si>
    <t>B09</t>
  </si>
  <si>
    <t>L-Lactic acid</t>
  </si>
  <si>
    <t>B10</t>
  </si>
  <si>
    <t>Formic acid</t>
  </si>
  <si>
    <t>B12</t>
  </si>
  <si>
    <t>L-Glutamic acid</t>
  </si>
  <si>
    <t>C10</t>
  </si>
  <si>
    <t>Maltose</t>
  </si>
  <si>
    <t>C11</t>
  </si>
  <si>
    <t>D-Melibiose</t>
  </si>
  <si>
    <t>C12</t>
  </si>
  <si>
    <t>Thymidine</t>
  </si>
  <si>
    <t>D01</t>
  </si>
  <si>
    <t>L-Asparagine</t>
  </si>
  <si>
    <t>D08</t>
  </si>
  <si>
    <t>a-Methyl-D-Galactoside</t>
  </si>
  <si>
    <t>D10</t>
  </si>
  <si>
    <t>Lactulose</t>
  </si>
  <si>
    <t>D11</t>
  </si>
  <si>
    <t>Sucrose</t>
  </si>
  <si>
    <t>E01</t>
  </si>
  <si>
    <t>L-Glutamine</t>
  </si>
  <si>
    <t>E09</t>
  </si>
  <si>
    <t>Adonitol</t>
  </si>
  <si>
    <t>E10</t>
  </si>
  <si>
    <t>Maltotriose</t>
  </si>
  <si>
    <t>C01835</t>
  </si>
  <si>
    <t>CAS 87-72-9</t>
  </si>
  <si>
    <t>C00259</t>
  </si>
  <si>
    <t>arab_L</t>
  </si>
  <si>
    <t>Ex_arab_L</t>
  </si>
  <si>
    <t>CAS 3325-00-6</t>
  </si>
  <si>
    <t>C00093</t>
  </si>
  <si>
    <t>glyc3p</t>
  </si>
  <si>
    <t>CAS 312-85-6</t>
  </si>
  <si>
    <t>C01432</t>
  </si>
  <si>
    <t>CAS 141-53-7</t>
  </si>
  <si>
    <t>C00058</t>
  </si>
  <si>
    <t>for</t>
  </si>
  <si>
    <t>CAS 6106-04-3</t>
  </si>
  <si>
    <t>C00025</t>
  </si>
  <si>
    <t>glu_L</t>
  </si>
  <si>
    <t>CAS 6363-53-7</t>
  </si>
  <si>
    <t>C00208</t>
  </si>
  <si>
    <t>malt</t>
  </si>
  <si>
    <t>CAS 585-99-9</t>
  </si>
  <si>
    <t>C05402</t>
  </si>
  <si>
    <t>melib</t>
  </si>
  <si>
    <t>CAS 50-89-5</t>
  </si>
  <si>
    <t>C00214</t>
  </si>
  <si>
    <t>thymd</t>
  </si>
  <si>
    <t>CAS 70-47-3</t>
  </si>
  <si>
    <t>C00152</t>
  </si>
  <si>
    <t>asn_L</t>
  </si>
  <si>
    <t>CAS 3396-99-4</t>
  </si>
  <si>
    <t>C03619</t>
  </si>
  <si>
    <t>CAS 4618-18-2</t>
  </si>
  <si>
    <t>C07064</t>
  </si>
  <si>
    <t>CAS 57-50-1</t>
  </si>
  <si>
    <t>C00089</t>
  </si>
  <si>
    <t>sucr</t>
  </si>
  <si>
    <t>CAS 56-85-9</t>
  </si>
  <si>
    <t>C00064</t>
  </si>
  <si>
    <t>gln_L</t>
  </si>
  <si>
    <t>CAS 488-81-3</t>
  </si>
  <si>
    <t>C00474</t>
  </si>
  <si>
    <t>CAS 1109-28-0</t>
  </si>
  <si>
    <t>F12</t>
  </si>
  <si>
    <t>Inosine</t>
  </si>
  <si>
    <t>CAS 58-63-9</t>
  </si>
  <si>
    <t>C00294</t>
  </si>
  <si>
    <t>ins</t>
  </si>
  <si>
    <t>H05</t>
  </si>
  <si>
    <t>D-Psicose</t>
  </si>
  <si>
    <t>CAS 551-68-8</t>
  </si>
  <si>
    <t>C06468</t>
  </si>
  <si>
    <t>H06</t>
  </si>
  <si>
    <t>L-Lyxose</t>
  </si>
  <si>
    <t>CAS 1949-78-6</t>
  </si>
  <si>
    <t>C01508</t>
  </si>
  <si>
    <t>A05</t>
  </si>
  <si>
    <t>Succinic acid</t>
  </si>
  <si>
    <t>CAS 6106-21-4</t>
  </si>
  <si>
    <t>C00042</t>
  </si>
  <si>
    <t>succ</t>
  </si>
  <si>
    <t>E07</t>
  </si>
  <si>
    <t>a-Hydroxybutyric acid</t>
  </si>
  <si>
    <t>CAS 19054-57-0</t>
  </si>
  <si>
    <t>C05984</t>
  </si>
  <si>
    <t>2hb</t>
  </si>
  <si>
    <t>F02</t>
  </si>
  <si>
    <t>Citric acid</t>
  </si>
  <si>
    <t>CAS 6132-04-3</t>
  </si>
  <si>
    <t>C00158</t>
  </si>
  <si>
    <t>cit</t>
  </si>
  <si>
    <t>F05</t>
  </si>
  <si>
    <t>Fumaric acid</t>
  </si>
  <si>
    <t>CAS 17013-01-3</t>
  </si>
  <si>
    <t>C00122</t>
  </si>
  <si>
    <t>fum</t>
  </si>
  <si>
    <t>G12</t>
  </si>
  <si>
    <t>L-Malic acid</t>
  </si>
  <si>
    <t>CAS 138-09-0</t>
  </si>
  <si>
    <t>C00149</t>
  </si>
  <si>
    <t>mal_L</t>
  </si>
  <si>
    <t>A10</t>
  </si>
  <si>
    <t>D-Trehalose</t>
  </si>
  <si>
    <t>CAS 6138-23-4</t>
  </si>
  <si>
    <t>C01083</t>
  </si>
  <si>
    <t>tre</t>
  </si>
  <si>
    <t>A11</t>
  </si>
  <si>
    <t>D-Mannose</t>
  </si>
  <si>
    <t>CAS 3458-28-4</t>
  </si>
  <si>
    <t>C00159</t>
  </si>
  <si>
    <t>man</t>
  </si>
  <si>
    <t>B02</t>
  </si>
  <si>
    <t>D-Sorbitol</t>
    <phoneticPr fontId="0" type="noConversion"/>
  </si>
  <si>
    <t>CAS 50-70-4</t>
  </si>
  <si>
    <t>C00794</t>
  </si>
  <si>
    <t>sbt_D</t>
  </si>
  <si>
    <t>B03</t>
  </si>
  <si>
    <t>Glycerol</t>
  </si>
  <si>
    <t xml:space="preserve">CAS 56-81-5 </t>
  </si>
  <si>
    <t>C00116</t>
  </si>
  <si>
    <t>glyc</t>
  </si>
  <si>
    <t>B08</t>
  </si>
  <si>
    <t>D-Xylose</t>
  </si>
  <si>
    <t>CAS 58-86-6</t>
  </si>
  <si>
    <t>C00181</t>
  </si>
  <si>
    <t>xyl_D</t>
  </si>
  <si>
    <t>B11</t>
  </si>
  <si>
    <t>D-Mannitol</t>
  </si>
  <si>
    <t>CAS 69-65-8</t>
  </si>
  <si>
    <t>C00392</t>
  </si>
  <si>
    <t>mnl</t>
  </si>
  <si>
    <t>C04</t>
  </si>
  <si>
    <t>D-Ribose</t>
  </si>
  <si>
    <t>CAS 50-69-1</t>
  </si>
  <si>
    <t>C00121</t>
  </si>
  <si>
    <t>rib_D</t>
  </si>
  <si>
    <t>C06</t>
  </si>
  <si>
    <t>L-Rhamnose</t>
  </si>
  <si>
    <t>CAS 3615-41-6</t>
  </si>
  <si>
    <t>C00507</t>
  </si>
  <si>
    <t>rmn</t>
  </si>
  <si>
    <t>C07</t>
  </si>
  <si>
    <t>D-Fructose</t>
  </si>
  <si>
    <t>CAS 57-48-7</t>
  </si>
  <si>
    <t>C00095</t>
  </si>
  <si>
    <t>fru</t>
  </si>
  <si>
    <t>C08</t>
  </si>
  <si>
    <t>Acetic acid</t>
  </si>
  <si>
    <t>CAS 127-09-3</t>
  </si>
  <si>
    <t>C00033</t>
  </si>
  <si>
    <t>ac</t>
  </si>
  <si>
    <t>C09</t>
  </si>
  <si>
    <t>a-D-Glucose</t>
  </si>
  <si>
    <t>CAS 50-99-7</t>
  </si>
  <si>
    <t>C00031</t>
  </si>
  <si>
    <t>glc_D</t>
  </si>
  <si>
    <t>D06</t>
  </si>
  <si>
    <t>a-Ketoglutaric acid</t>
  </si>
  <si>
    <t>CAS 22202-68-2</t>
  </si>
  <si>
    <t>C00026</t>
  </si>
  <si>
    <t>akg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</si>
</sst>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sz val="10"/>
      <color rgb="FFFF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4" fillId="21" borderId="0" applyNumberFormat="0" applyBorder="0" applyAlignment="0" applyProtection="0"/>
    <xf numFmtId="0" fontId="9" fillId="23" borderId="4" applyNumberFormat="0" applyAlignment="0" applyProtection="0"/>
    <xf numFmtId="0" fontId="4" fillId="24" borderId="5" applyNumberFormat="0" applyFont="0" applyAlignment="0" applyProtection="0"/>
    <xf numFmtId="0" fontId="12" fillId="0" borderId="0">
      <alignment vertical="center"/>
    </xf>
  </cellStyleXfs>
  <cellXfs count="64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16" fontId="0" fillId="0" borderId="0" xfId="0" applyNumberFormat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6" fillId="17" borderId="0" xfId="0" applyFont="1" applyFill="1"/>
    <xf numFmtId="0" fontId="5" fillId="22" borderId="0" xfId="0" applyFont="1" applyFill="1"/>
    <xf numFmtId="0" fontId="5" fillId="0" borderId="0" xfId="0" applyFont="1"/>
    <xf numFmtId="0" fontId="7" fillId="0" borderId="0" xfId="0" applyFont="1"/>
    <xf numFmtId="0" fontId="8" fillId="0" borderId="0" xfId="0" applyFont="1"/>
    <xf numFmtId="0" fontId="4" fillId="21" borderId="0" xfId="1"/>
    <xf numFmtId="0" fontId="9" fillId="23" borderId="4" xfId="2"/>
    <xf numFmtId="0" fontId="9" fillId="19" borderId="4" xfId="2" applyFill="1"/>
    <xf numFmtId="0" fontId="9" fillId="25" borderId="4" xfId="2" applyFill="1"/>
    <xf numFmtId="0" fontId="9" fillId="18" borderId="4" xfId="2" applyFill="1"/>
    <xf numFmtId="0" fontId="9" fillId="26" borderId="4" xfId="2" applyFill="1"/>
    <xf numFmtId="0" fontId="10" fillId="19" borderId="4" xfId="2" applyFont="1" applyFill="1"/>
    <xf numFmtId="0" fontId="0" fillId="24" borderId="5" xfId="3" applyFont="1"/>
    <xf numFmtId="0" fontId="0" fillId="24" borderId="0" xfId="3" applyFont="1" applyBorder="1"/>
    <xf numFmtId="0" fontId="0" fillId="25" borderId="0" xfId="0" applyFill="1"/>
    <xf numFmtId="0" fontId="0" fillId="26" borderId="0" xfId="0" applyFill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center"/>
    </xf>
    <xf numFmtId="49" fontId="11" fillId="0" borderId="6" xfId="4" applyNumberFormat="1" applyFont="1" applyBorder="1" applyAlignment="1">
      <alignment vertical="top"/>
    </xf>
    <xf numFmtId="0" fontId="11" fillId="0" borderId="7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Fill="1" applyBorder="1"/>
    <xf numFmtId="0" fontId="11" fillId="0" borderId="8" xfId="0" applyFont="1" applyFill="1" applyBorder="1" applyAlignment="1">
      <alignment vertical="center"/>
    </xf>
    <xf numFmtId="0" fontId="4" fillId="27" borderId="0" xfId="0" applyFont="1" applyFill="1"/>
    <xf numFmtId="0" fontId="13" fillId="0" borderId="7" xfId="0" applyFont="1" applyFill="1" applyBorder="1" applyAlignment="1">
      <alignment vertical="center"/>
    </xf>
  </cellXfs>
  <cellStyles count="5">
    <cellStyle name="40 % - Akzent2" xfId="1" builtinId="35"/>
    <cellStyle name="Ausgabe" xfId="2" builtinId="21"/>
    <cellStyle name="Normal_Current version" xfId="4"/>
    <cellStyle name="Notiz" xfId="3" builtinId="10"/>
    <cellStyle name="Standard" xfId="0" builtinId="0"/>
  </cellStyles>
  <dxfs count="17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7"/>
  <sheetViews>
    <sheetView topLeftCell="AA76" zoomScaleNormal="100" workbookViewId="0">
      <selection activeCell="D26" sqref="D26:D28"/>
    </sheetView>
  </sheetViews>
  <sheetFormatPr baseColWidth="10" defaultColWidth="9.140625" defaultRowHeight="15"/>
  <sheetData>
    <row r="1" spans="1:46">
      <c r="B1" t="s">
        <v>1</v>
      </c>
      <c r="AG1" t="s">
        <v>12</v>
      </c>
      <c r="AH1" t="s">
        <v>11</v>
      </c>
    </row>
    <row r="2" spans="1:46">
      <c r="A2" t="s">
        <v>0</v>
      </c>
      <c r="B2">
        <v>0</v>
      </c>
      <c r="C2" s="1"/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AG2" s="1"/>
      <c r="AH2" s="2">
        <v>1</v>
      </c>
      <c r="AI2" s="2">
        <v>2</v>
      </c>
      <c r="AJ2" s="2">
        <v>3</v>
      </c>
      <c r="AK2" s="2">
        <v>4</v>
      </c>
      <c r="AL2" s="2">
        <v>5</v>
      </c>
      <c r="AM2" s="2">
        <v>6</v>
      </c>
      <c r="AN2" s="2">
        <v>7</v>
      </c>
      <c r="AO2" s="2">
        <v>8</v>
      </c>
      <c r="AP2" s="2">
        <v>9</v>
      </c>
      <c r="AQ2" s="2">
        <v>10</v>
      </c>
      <c r="AR2" s="2">
        <v>11</v>
      </c>
      <c r="AS2" s="2">
        <v>12</v>
      </c>
    </row>
    <row r="3" spans="1:46">
      <c r="C3" s="54" t="s">
        <v>2</v>
      </c>
      <c r="D3" s="3">
        <v>0.128</v>
      </c>
      <c r="E3" s="4">
        <v>0.185</v>
      </c>
      <c r="F3" s="5">
        <v>0.11700000000000001</v>
      </c>
      <c r="G3" s="3">
        <v>0.12</v>
      </c>
      <c r="H3" s="3">
        <v>0.11899999999999999</v>
      </c>
      <c r="I3" s="5">
        <v>0.11799999999999999</v>
      </c>
      <c r="J3" s="5">
        <v>0.11799999999999999</v>
      </c>
      <c r="K3" s="5">
        <v>0.11799999999999999</v>
      </c>
      <c r="L3" s="6">
        <v>0.16700000000000001</v>
      </c>
      <c r="M3" s="5">
        <v>0.11899999999999999</v>
      </c>
      <c r="N3" s="3">
        <v>0.121</v>
      </c>
      <c r="O3" s="7">
        <v>0.13600000000000001</v>
      </c>
      <c r="P3" s="8">
        <v>490</v>
      </c>
      <c r="AG3" s="54" t="s">
        <v>2</v>
      </c>
      <c r="AH3" s="3">
        <v>0.123</v>
      </c>
      <c r="AI3" s="6">
        <v>0.17</v>
      </c>
      <c r="AJ3" s="5">
        <v>0.112</v>
      </c>
      <c r="AK3" s="5">
        <v>0.113</v>
      </c>
      <c r="AL3" s="5">
        <v>0.111</v>
      </c>
      <c r="AM3" s="5">
        <v>0.114</v>
      </c>
      <c r="AN3" s="5">
        <v>0.113</v>
      </c>
      <c r="AO3" s="5">
        <v>0.113</v>
      </c>
      <c r="AP3" s="5">
        <v>0.112</v>
      </c>
      <c r="AQ3" s="5">
        <v>0.111</v>
      </c>
      <c r="AR3" s="5">
        <v>0.113</v>
      </c>
      <c r="AS3" s="5">
        <v>0.11600000000000001</v>
      </c>
      <c r="AT3" s="8">
        <v>490</v>
      </c>
    </row>
    <row r="4" spans="1:46">
      <c r="C4" s="55"/>
      <c r="D4" s="9">
        <v>9.9000000000000005E-2</v>
      </c>
      <c r="E4" s="10">
        <v>8.5999999999999993E-2</v>
      </c>
      <c r="F4" s="10">
        <v>8.8999999999999996E-2</v>
      </c>
      <c r="G4" s="11">
        <v>0.09</v>
      </c>
      <c r="H4" s="11">
        <v>9.0999999999999998E-2</v>
      </c>
      <c r="I4" s="10">
        <v>8.7999999999999995E-2</v>
      </c>
      <c r="J4" s="11">
        <v>0.09</v>
      </c>
      <c r="K4" s="11">
        <v>9.0999999999999998E-2</v>
      </c>
      <c r="L4" s="12">
        <v>0.13800000000000001</v>
      </c>
      <c r="M4" s="11">
        <v>9.0999999999999998E-2</v>
      </c>
      <c r="N4" s="11">
        <v>9.2999999999999999E-2</v>
      </c>
      <c r="O4" s="13">
        <v>0.105</v>
      </c>
      <c r="P4" s="8">
        <v>750</v>
      </c>
      <c r="AG4" s="55"/>
      <c r="AH4" s="31">
        <v>9.9000000000000005E-2</v>
      </c>
      <c r="AI4" s="11">
        <v>8.8999999999999996E-2</v>
      </c>
      <c r="AJ4" s="11">
        <v>8.7999999999999995E-2</v>
      </c>
      <c r="AK4" s="10">
        <v>8.6999999999999994E-2</v>
      </c>
      <c r="AL4" s="10">
        <v>8.5999999999999993E-2</v>
      </c>
      <c r="AM4" s="10">
        <v>8.6999999999999994E-2</v>
      </c>
      <c r="AN4" s="10">
        <v>8.6999999999999994E-2</v>
      </c>
      <c r="AO4" s="11">
        <v>8.7999999999999995E-2</v>
      </c>
      <c r="AP4" s="10">
        <v>8.6999999999999994E-2</v>
      </c>
      <c r="AQ4" s="11">
        <v>8.7999999999999995E-2</v>
      </c>
      <c r="AR4" s="11">
        <v>8.7999999999999995E-2</v>
      </c>
      <c r="AS4" s="22">
        <v>9.1999999999999998E-2</v>
      </c>
      <c r="AT4" s="8">
        <v>750</v>
      </c>
    </row>
    <row r="5" spans="1:46">
      <c r="C5" s="54" t="s">
        <v>3</v>
      </c>
      <c r="D5" s="3">
        <v>0.126</v>
      </c>
      <c r="E5" s="5">
        <v>0.11700000000000001</v>
      </c>
      <c r="F5" s="3">
        <v>0.123</v>
      </c>
      <c r="G5" s="3">
        <v>0.127</v>
      </c>
      <c r="H5" s="3">
        <v>0.129</v>
      </c>
      <c r="I5" s="3">
        <v>0.121</v>
      </c>
      <c r="J5" s="3">
        <v>0.121</v>
      </c>
      <c r="K5" s="14">
        <v>0.21199999999999999</v>
      </c>
      <c r="L5" s="3">
        <v>0.124</v>
      </c>
      <c r="M5" s="3">
        <v>0.126</v>
      </c>
      <c r="N5" s="3">
        <v>0.12</v>
      </c>
      <c r="O5" s="3">
        <v>0.125</v>
      </c>
      <c r="P5" s="8">
        <v>490</v>
      </c>
      <c r="AG5" s="54" t="s">
        <v>3</v>
      </c>
      <c r="AH5" s="5">
        <v>0.11899999999999999</v>
      </c>
      <c r="AI5" s="5">
        <v>0.111</v>
      </c>
      <c r="AJ5" s="5">
        <v>0.113</v>
      </c>
      <c r="AK5" s="5">
        <v>0.115</v>
      </c>
      <c r="AL5" s="5">
        <v>0.12</v>
      </c>
      <c r="AM5" s="5">
        <v>0.11700000000000001</v>
      </c>
      <c r="AN5" s="5">
        <v>0.115</v>
      </c>
      <c r="AO5" s="28">
        <v>0.19700000000000001</v>
      </c>
      <c r="AP5" s="5">
        <v>0.114</v>
      </c>
      <c r="AQ5" s="5">
        <v>0.113</v>
      </c>
      <c r="AR5" s="5">
        <v>0.112</v>
      </c>
      <c r="AS5" s="5">
        <v>0.113</v>
      </c>
      <c r="AT5" s="8">
        <v>490</v>
      </c>
    </row>
    <row r="6" spans="1:46">
      <c r="C6" s="55"/>
      <c r="D6" s="15">
        <v>9.6000000000000002E-2</v>
      </c>
      <c r="E6" s="11">
        <v>9.0999999999999998E-2</v>
      </c>
      <c r="F6" s="11">
        <v>9.2999999999999999E-2</v>
      </c>
      <c r="G6" s="15">
        <v>9.5000000000000001E-2</v>
      </c>
      <c r="H6" s="11">
        <v>9.1999999999999998E-2</v>
      </c>
      <c r="I6" s="11">
        <v>9.1999999999999998E-2</v>
      </c>
      <c r="J6" s="11">
        <v>9.2999999999999999E-2</v>
      </c>
      <c r="K6" s="11">
        <v>9.2999999999999999E-2</v>
      </c>
      <c r="L6" s="15">
        <v>9.5000000000000001E-2</v>
      </c>
      <c r="M6" s="15">
        <v>9.6000000000000002E-2</v>
      </c>
      <c r="N6" s="11">
        <v>0.09</v>
      </c>
      <c r="O6" s="15">
        <v>9.5000000000000001E-2</v>
      </c>
      <c r="P6" s="8">
        <v>750</v>
      </c>
      <c r="AG6" s="55"/>
      <c r="AH6" s="22">
        <v>9.1999999999999998E-2</v>
      </c>
      <c r="AI6" s="11">
        <v>8.8999999999999996E-2</v>
      </c>
      <c r="AJ6" s="11">
        <v>8.7999999999999995E-2</v>
      </c>
      <c r="AK6" s="11">
        <v>8.7999999999999995E-2</v>
      </c>
      <c r="AL6" s="15">
        <v>0.09</v>
      </c>
      <c r="AM6" s="15">
        <v>0.09</v>
      </c>
      <c r="AN6" s="15">
        <v>0.09</v>
      </c>
      <c r="AO6" s="11">
        <v>8.7999999999999995E-2</v>
      </c>
      <c r="AP6" s="11">
        <v>8.8999999999999996E-2</v>
      </c>
      <c r="AQ6" s="11">
        <v>8.8999999999999996E-2</v>
      </c>
      <c r="AR6" s="10">
        <v>8.6999999999999994E-2</v>
      </c>
      <c r="AS6" s="11">
        <v>8.8999999999999996E-2</v>
      </c>
      <c r="AT6" s="8">
        <v>750</v>
      </c>
    </row>
    <row r="7" spans="1:46">
      <c r="C7" s="54" t="s">
        <v>4</v>
      </c>
      <c r="D7" s="3">
        <v>0.126</v>
      </c>
      <c r="E7" s="3">
        <v>0.125</v>
      </c>
      <c r="F7" s="3">
        <v>0.122</v>
      </c>
      <c r="G7" s="16">
        <v>0.25700000000000001</v>
      </c>
      <c r="H7" s="3">
        <v>0.121</v>
      </c>
      <c r="I7" s="3">
        <v>0.128</v>
      </c>
      <c r="J7" s="3">
        <v>0.122</v>
      </c>
      <c r="K7" s="3">
        <v>0.125</v>
      </c>
      <c r="L7" s="17">
        <v>0.155</v>
      </c>
      <c r="M7" s="5">
        <v>0.11799999999999999</v>
      </c>
      <c r="N7" s="5">
        <v>0.11700000000000001</v>
      </c>
      <c r="O7" s="3">
        <v>0.128</v>
      </c>
      <c r="P7" s="8">
        <v>490</v>
      </c>
      <c r="AG7" s="54" t="s">
        <v>4</v>
      </c>
      <c r="AH7" s="5">
        <v>0.11799999999999999</v>
      </c>
      <c r="AI7" s="3">
        <v>0.121</v>
      </c>
      <c r="AJ7" s="5">
        <v>0.12</v>
      </c>
      <c r="AK7" s="16">
        <v>0.252</v>
      </c>
      <c r="AL7" s="7">
        <v>0.13200000000000001</v>
      </c>
      <c r="AM7" s="7">
        <v>0.13900000000000001</v>
      </c>
      <c r="AN7" s="3">
        <v>0.128</v>
      </c>
      <c r="AO7" s="3">
        <v>0.122</v>
      </c>
      <c r="AP7" s="3">
        <v>0.123</v>
      </c>
      <c r="AQ7" s="5">
        <v>0.114</v>
      </c>
      <c r="AR7" s="5">
        <v>0.113</v>
      </c>
      <c r="AS7" s="5">
        <v>0.113</v>
      </c>
      <c r="AT7" s="8">
        <v>490</v>
      </c>
    </row>
    <row r="8" spans="1:46">
      <c r="C8" s="55"/>
      <c r="D8" s="15">
        <v>9.5000000000000001E-2</v>
      </c>
      <c r="E8" s="10">
        <v>8.7999999999999995E-2</v>
      </c>
      <c r="F8" s="15">
        <v>9.2999999999999999E-2</v>
      </c>
      <c r="G8" s="15">
        <v>9.5000000000000001E-2</v>
      </c>
      <c r="H8" s="11">
        <v>9.1999999999999998E-2</v>
      </c>
      <c r="I8" s="15">
        <v>9.5000000000000001E-2</v>
      </c>
      <c r="J8" s="11">
        <v>9.0999999999999998E-2</v>
      </c>
      <c r="K8" s="15">
        <v>9.5000000000000001E-2</v>
      </c>
      <c r="L8" s="18">
        <v>0.125</v>
      </c>
      <c r="M8" s="11">
        <v>0.09</v>
      </c>
      <c r="N8" s="11">
        <v>0.09</v>
      </c>
      <c r="O8" s="9">
        <v>9.9000000000000005E-2</v>
      </c>
      <c r="P8" s="8">
        <v>750</v>
      </c>
      <c r="AG8" s="55"/>
      <c r="AH8" s="22">
        <v>9.1999999999999998E-2</v>
      </c>
      <c r="AI8" s="11">
        <v>8.7999999999999995E-2</v>
      </c>
      <c r="AJ8" s="22">
        <v>9.2999999999999999E-2</v>
      </c>
      <c r="AK8" s="9">
        <v>9.1999999999999998E-2</v>
      </c>
      <c r="AL8" s="26">
        <v>0.105</v>
      </c>
      <c r="AM8" s="12">
        <v>0.107</v>
      </c>
      <c r="AN8" s="21">
        <v>9.7000000000000003E-2</v>
      </c>
      <c r="AO8" s="22">
        <v>9.2999999999999999E-2</v>
      </c>
      <c r="AP8" s="21">
        <v>9.7000000000000003E-2</v>
      </c>
      <c r="AQ8" s="9">
        <v>9.0999999999999998E-2</v>
      </c>
      <c r="AR8" s="11">
        <v>8.8999999999999996E-2</v>
      </c>
      <c r="AS8" s="11">
        <v>8.7999999999999995E-2</v>
      </c>
      <c r="AT8" s="8">
        <v>750</v>
      </c>
    </row>
    <row r="9" spans="1:46">
      <c r="C9" s="54" t="s">
        <v>5</v>
      </c>
      <c r="D9" s="3">
        <v>0.126</v>
      </c>
      <c r="E9" s="5">
        <v>0.11600000000000001</v>
      </c>
      <c r="F9" s="3">
        <v>0.122</v>
      </c>
      <c r="G9" s="3">
        <v>0.125</v>
      </c>
      <c r="H9" s="3">
        <v>0.122</v>
      </c>
      <c r="I9" s="3">
        <v>0.13</v>
      </c>
      <c r="J9" s="3">
        <v>0.125</v>
      </c>
      <c r="K9" s="3">
        <v>0.121</v>
      </c>
      <c r="L9" s="3">
        <v>0.124</v>
      </c>
      <c r="M9" s="3">
        <v>0.124</v>
      </c>
      <c r="N9" s="3">
        <v>0.123</v>
      </c>
      <c r="O9" s="3">
        <v>0.124</v>
      </c>
      <c r="P9" s="8">
        <v>490</v>
      </c>
      <c r="AG9" s="54" t="s">
        <v>5</v>
      </c>
      <c r="AH9" s="5">
        <v>0.113</v>
      </c>
      <c r="AI9" s="5">
        <v>0.111</v>
      </c>
      <c r="AJ9" s="5">
        <v>0.114</v>
      </c>
      <c r="AK9" s="5">
        <v>0.11600000000000001</v>
      </c>
      <c r="AL9" s="5">
        <v>0.11700000000000001</v>
      </c>
      <c r="AM9" s="5">
        <v>0.11600000000000001</v>
      </c>
      <c r="AN9" s="5">
        <v>0.11799999999999999</v>
      </c>
      <c r="AO9" s="5">
        <v>0.12</v>
      </c>
      <c r="AP9" s="5">
        <v>0.11600000000000001</v>
      </c>
      <c r="AQ9" s="5">
        <v>0.114</v>
      </c>
      <c r="AR9" s="5">
        <v>0.113</v>
      </c>
      <c r="AS9" s="5">
        <v>0.114</v>
      </c>
      <c r="AT9" s="8">
        <v>490</v>
      </c>
    </row>
    <row r="10" spans="1:46">
      <c r="C10" s="55"/>
      <c r="D10" s="15">
        <v>9.6000000000000002E-2</v>
      </c>
      <c r="E10" s="10">
        <v>8.8999999999999996E-2</v>
      </c>
      <c r="F10" s="15">
        <v>9.2999999999999999E-2</v>
      </c>
      <c r="G10" s="9">
        <v>9.7000000000000003E-2</v>
      </c>
      <c r="H10" s="11">
        <v>9.0999999999999998E-2</v>
      </c>
      <c r="I10" s="9">
        <v>9.8000000000000004E-2</v>
      </c>
      <c r="J10" s="15">
        <v>9.4E-2</v>
      </c>
      <c r="K10" s="11">
        <v>0.09</v>
      </c>
      <c r="L10" s="11">
        <v>9.1999999999999998E-2</v>
      </c>
      <c r="M10" s="15">
        <v>9.5000000000000001E-2</v>
      </c>
      <c r="N10" s="15">
        <v>9.5000000000000001E-2</v>
      </c>
      <c r="O10" s="11">
        <v>9.2999999999999999E-2</v>
      </c>
      <c r="P10" s="8">
        <v>750</v>
      </c>
      <c r="AG10" s="55"/>
      <c r="AH10" s="15">
        <v>8.8999999999999996E-2</v>
      </c>
      <c r="AI10" s="11">
        <v>8.7999999999999995E-2</v>
      </c>
      <c r="AJ10" s="15">
        <v>0.09</v>
      </c>
      <c r="AK10" s="9">
        <v>9.1999999999999998E-2</v>
      </c>
      <c r="AL10" s="22">
        <v>9.2999999999999999E-2</v>
      </c>
      <c r="AM10" s="15">
        <v>0.09</v>
      </c>
      <c r="AN10" s="15">
        <v>0.09</v>
      </c>
      <c r="AO10" s="9">
        <v>9.1999999999999998E-2</v>
      </c>
      <c r="AP10" s="9">
        <v>9.0999999999999998E-2</v>
      </c>
      <c r="AQ10" s="15">
        <v>0.09</v>
      </c>
      <c r="AR10" s="15">
        <v>8.8999999999999996E-2</v>
      </c>
      <c r="AS10" s="11">
        <v>8.7999999999999995E-2</v>
      </c>
      <c r="AT10" s="8">
        <v>750</v>
      </c>
    </row>
    <row r="11" spans="1:46">
      <c r="C11" s="54" t="s">
        <v>6</v>
      </c>
      <c r="D11" s="3">
        <v>0.121</v>
      </c>
      <c r="E11" s="5">
        <v>0.11</v>
      </c>
      <c r="F11" s="5">
        <v>0.11799999999999999</v>
      </c>
      <c r="G11" s="7">
        <v>0.13100000000000001</v>
      </c>
      <c r="H11" s="5">
        <v>0.11700000000000001</v>
      </c>
      <c r="I11" s="3">
        <v>0.121</v>
      </c>
      <c r="J11" s="3">
        <v>0.124</v>
      </c>
      <c r="K11" s="3">
        <v>0.12</v>
      </c>
      <c r="L11" s="3">
        <v>0.12</v>
      </c>
      <c r="M11" s="5">
        <v>0.11700000000000001</v>
      </c>
      <c r="N11" s="5">
        <v>0.115</v>
      </c>
      <c r="O11" s="3">
        <v>0.124</v>
      </c>
      <c r="P11" s="8">
        <v>490</v>
      </c>
      <c r="AG11" s="54" t="s">
        <v>6</v>
      </c>
      <c r="AH11" s="3">
        <v>0.126</v>
      </c>
      <c r="AI11" s="5">
        <v>0.115</v>
      </c>
      <c r="AJ11" s="3">
        <v>0.121</v>
      </c>
      <c r="AK11" s="3">
        <v>0.13</v>
      </c>
      <c r="AL11" s="5">
        <v>0.11799999999999999</v>
      </c>
      <c r="AM11" s="5">
        <v>0.11700000000000001</v>
      </c>
      <c r="AN11" s="3">
        <v>0.126</v>
      </c>
      <c r="AO11" s="5">
        <v>0.11799999999999999</v>
      </c>
      <c r="AP11" s="7">
        <v>0.13500000000000001</v>
      </c>
      <c r="AQ11" s="3">
        <v>0.124</v>
      </c>
      <c r="AR11" s="24">
        <v>0.221</v>
      </c>
      <c r="AS11" s="5">
        <v>0.114</v>
      </c>
      <c r="AT11" s="8">
        <v>490</v>
      </c>
    </row>
    <row r="12" spans="1:46">
      <c r="C12" s="55"/>
      <c r="D12" s="15">
        <v>9.2999999999999999E-2</v>
      </c>
      <c r="E12" s="10">
        <v>8.6999999999999994E-2</v>
      </c>
      <c r="F12" s="11">
        <v>9.2999999999999999E-2</v>
      </c>
      <c r="G12" s="15">
        <v>9.2999999999999999E-2</v>
      </c>
      <c r="H12" s="10">
        <v>8.8999999999999996E-2</v>
      </c>
      <c r="I12" s="11">
        <v>9.1999999999999998E-2</v>
      </c>
      <c r="J12" s="15">
        <v>9.4E-2</v>
      </c>
      <c r="K12" s="11">
        <v>9.0999999999999998E-2</v>
      </c>
      <c r="L12" s="11">
        <v>0.09</v>
      </c>
      <c r="M12" s="10">
        <v>8.8999999999999996E-2</v>
      </c>
      <c r="N12" s="11">
        <v>0.09</v>
      </c>
      <c r="O12" s="15">
        <v>9.4E-2</v>
      </c>
      <c r="P12" s="8">
        <v>750</v>
      </c>
      <c r="AG12" s="55"/>
      <c r="AH12" s="31">
        <v>9.8000000000000004E-2</v>
      </c>
      <c r="AI12" s="9">
        <v>9.0999999999999998E-2</v>
      </c>
      <c r="AJ12" s="23">
        <v>9.6000000000000002E-2</v>
      </c>
      <c r="AK12" s="13">
        <v>9.4E-2</v>
      </c>
      <c r="AL12" s="22">
        <v>9.2999999999999999E-2</v>
      </c>
      <c r="AM12" s="9">
        <v>9.0999999999999998E-2</v>
      </c>
      <c r="AN12" s="23">
        <v>9.6000000000000002E-2</v>
      </c>
      <c r="AO12" s="9">
        <v>9.0999999999999998E-2</v>
      </c>
      <c r="AP12" s="26">
        <v>0.105</v>
      </c>
      <c r="AQ12" s="21">
        <v>9.7000000000000003E-2</v>
      </c>
      <c r="AR12" s="21">
        <v>9.8000000000000004E-2</v>
      </c>
      <c r="AS12" s="11">
        <v>8.8999999999999996E-2</v>
      </c>
      <c r="AT12" s="8">
        <v>750</v>
      </c>
    </row>
    <row r="13" spans="1:46">
      <c r="C13" s="54" t="s">
        <v>7</v>
      </c>
      <c r="D13" s="3">
        <v>0.125</v>
      </c>
      <c r="E13" s="5">
        <v>0.11</v>
      </c>
      <c r="F13" s="3">
        <v>0.122</v>
      </c>
      <c r="G13" s="5">
        <v>0.11700000000000001</v>
      </c>
      <c r="H13" s="3">
        <v>0.12</v>
      </c>
      <c r="I13" s="3">
        <v>0.122</v>
      </c>
      <c r="J13" s="3">
        <v>0.121</v>
      </c>
      <c r="K13" s="3">
        <v>0.125</v>
      </c>
      <c r="L13" s="3">
        <v>0.126</v>
      </c>
      <c r="M13" s="5">
        <v>0.11700000000000001</v>
      </c>
      <c r="N13" s="5">
        <v>0.11600000000000001</v>
      </c>
      <c r="O13" s="3">
        <v>0.121</v>
      </c>
      <c r="P13" s="8">
        <v>490</v>
      </c>
      <c r="AG13" s="54" t="s">
        <v>7</v>
      </c>
      <c r="AH13" s="3">
        <v>0.124</v>
      </c>
      <c r="AI13" s="5">
        <v>0.112</v>
      </c>
      <c r="AJ13" s="5">
        <v>0.115</v>
      </c>
      <c r="AK13" s="5">
        <v>0.11799999999999999</v>
      </c>
      <c r="AL13" s="5">
        <v>0.113</v>
      </c>
      <c r="AM13" s="5">
        <v>0.115</v>
      </c>
      <c r="AN13" s="5">
        <v>0.115</v>
      </c>
      <c r="AO13" s="5">
        <v>0.11600000000000001</v>
      </c>
      <c r="AP13" s="5">
        <v>0.11600000000000001</v>
      </c>
      <c r="AQ13" s="5">
        <v>0.113</v>
      </c>
      <c r="AR13" s="5">
        <v>0.113</v>
      </c>
      <c r="AS13" s="5">
        <v>0.115</v>
      </c>
      <c r="AT13" s="8">
        <v>490</v>
      </c>
    </row>
    <row r="14" spans="1:46">
      <c r="C14" s="55"/>
      <c r="D14" s="9">
        <v>9.7000000000000003E-2</v>
      </c>
      <c r="E14" s="10">
        <v>8.6999999999999994E-2</v>
      </c>
      <c r="F14" s="15">
        <v>9.6000000000000002E-2</v>
      </c>
      <c r="G14" s="11">
        <v>9.0999999999999998E-2</v>
      </c>
      <c r="H14" s="11">
        <v>9.1999999999999998E-2</v>
      </c>
      <c r="I14" s="15">
        <v>9.2999999999999999E-2</v>
      </c>
      <c r="J14" s="11">
        <v>9.0999999999999998E-2</v>
      </c>
      <c r="K14" s="15">
        <v>9.4E-2</v>
      </c>
      <c r="L14" s="15">
        <v>9.5000000000000001E-2</v>
      </c>
      <c r="M14" s="10">
        <v>8.8999999999999996E-2</v>
      </c>
      <c r="N14" s="10">
        <v>8.8999999999999996E-2</v>
      </c>
      <c r="O14" s="11">
        <v>9.0999999999999998E-2</v>
      </c>
      <c r="P14" s="8">
        <v>750</v>
      </c>
      <c r="AG14" s="55"/>
      <c r="AH14" s="23">
        <v>9.6000000000000002E-2</v>
      </c>
      <c r="AI14" s="15">
        <v>8.8999999999999996E-2</v>
      </c>
      <c r="AJ14" s="9">
        <v>9.1999999999999998E-2</v>
      </c>
      <c r="AK14" s="13">
        <v>9.4E-2</v>
      </c>
      <c r="AL14" s="15">
        <v>0.09</v>
      </c>
      <c r="AM14" s="15">
        <v>8.8999999999999996E-2</v>
      </c>
      <c r="AN14" s="11">
        <v>8.7999999999999995E-2</v>
      </c>
      <c r="AO14" s="11">
        <v>8.8999999999999996E-2</v>
      </c>
      <c r="AP14" s="9">
        <v>9.0999999999999998E-2</v>
      </c>
      <c r="AQ14" s="15">
        <v>8.8999999999999996E-2</v>
      </c>
      <c r="AR14" s="15">
        <v>8.8999999999999996E-2</v>
      </c>
      <c r="AS14" s="15">
        <v>0.09</v>
      </c>
      <c r="AT14" s="8">
        <v>750</v>
      </c>
    </row>
    <row r="15" spans="1:46">
      <c r="C15" s="54" t="s">
        <v>8</v>
      </c>
      <c r="D15" s="3">
        <v>0.122</v>
      </c>
      <c r="E15" s="5">
        <v>0.108</v>
      </c>
      <c r="F15" s="5">
        <v>0.114</v>
      </c>
      <c r="G15" s="3">
        <v>0.126</v>
      </c>
      <c r="H15" s="5">
        <v>0.112</v>
      </c>
      <c r="I15" s="5">
        <v>0.11799999999999999</v>
      </c>
      <c r="J15" s="3">
        <v>0.125</v>
      </c>
      <c r="K15" s="3">
        <v>0.12</v>
      </c>
      <c r="L15" s="3">
        <v>0.121</v>
      </c>
      <c r="M15" s="5">
        <v>0.11600000000000001</v>
      </c>
      <c r="N15" s="5">
        <v>0.11600000000000001</v>
      </c>
      <c r="O15" s="3">
        <v>0.11899999999999999</v>
      </c>
      <c r="P15" s="8">
        <v>490</v>
      </c>
      <c r="AG15" s="54" t="s">
        <v>8</v>
      </c>
      <c r="AH15" s="5">
        <v>0.11899999999999999</v>
      </c>
      <c r="AI15" s="5">
        <v>0.112</v>
      </c>
      <c r="AJ15" s="5">
        <v>0.115</v>
      </c>
      <c r="AK15" s="5">
        <v>0.11700000000000001</v>
      </c>
      <c r="AL15" s="5">
        <v>0.11</v>
      </c>
      <c r="AM15" s="5">
        <v>0.11700000000000001</v>
      </c>
      <c r="AN15" s="5">
        <v>0.11899999999999999</v>
      </c>
      <c r="AO15" s="5">
        <v>0.114</v>
      </c>
      <c r="AP15" s="5">
        <v>0.115</v>
      </c>
      <c r="AQ15" s="5">
        <v>0.114</v>
      </c>
      <c r="AR15" s="5">
        <v>0.113</v>
      </c>
      <c r="AS15" s="5">
        <v>0.113</v>
      </c>
      <c r="AT15" s="8">
        <v>490</v>
      </c>
    </row>
    <row r="16" spans="1:46">
      <c r="C16" s="55"/>
      <c r="D16" s="15">
        <v>9.4E-2</v>
      </c>
      <c r="E16" s="10">
        <v>8.5999999999999993E-2</v>
      </c>
      <c r="F16" s="11">
        <v>0.09</v>
      </c>
      <c r="G16" s="9">
        <v>9.9000000000000005E-2</v>
      </c>
      <c r="H16" s="10">
        <v>8.7999999999999995E-2</v>
      </c>
      <c r="I16" s="11">
        <v>0.09</v>
      </c>
      <c r="J16" s="15">
        <v>9.4E-2</v>
      </c>
      <c r="K16" s="11">
        <v>9.2999999999999999E-2</v>
      </c>
      <c r="L16" s="11">
        <v>9.2999999999999999E-2</v>
      </c>
      <c r="M16" s="11">
        <v>8.8999999999999996E-2</v>
      </c>
      <c r="N16" s="11">
        <v>8.8999999999999996E-2</v>
      </c>
      <c r="O16" s="11">
        <v>9.0999999999999998E-2</v>
      </c>
      <c r="P16" s="8">
        <v>750</v>
      </c>
      <c r="AG16" s="55"/>
      <c r="AH16" s="22">
        <v>9.2999999999999999E-2</v>
      </c>
      <c r="AI16" s="9">
        <v>9.0999999999999998E-2</v>
      </c>
      <c r="AJ16" s="22">
        <v>9.2999999999999999E-2</v>
      </c>
      <c r="AK16" s="9">
        <v>9.1999999999999998E-2</v>
      </c>
      <c r="AL16" s="11">
        <v>8.7999999999999995E-2</v>
      </c>
      <c r="AM16" s="9">
        <v>9.0999999999999998E-2</v>
      </c>
      <c r="AN16" s="15">
        <v>0.09</v>
      </c>
      <c r="AO16" s="15">
        <v>0.09</v>
      </c>
      <c r="AP16" s="15">
        <v>0.09</v>
      </c>
      <c r="AQ16" s="15">
        <v>0.09</v>
      </c>
      <c r="AR16" s="15">
        <v>8.8999999999999996E-2</v>
      </c>
      <c r="AS16" s="11">
        <v>8.7999999999999995E-2</v>
      </c>
      <c r="AT16" s="8">
        <v>750</v>
      </c>
    </row>
    <row r="17" spans="1:46">
      <c r="C17" s="54" t="s">
        <v>9</v>
      </c>
      <c r="D17" s="5">
        <v>0.11600000000000001</v>
      </c>
      <c r="E17" s="5">
        <v>0.115</v>
      </c>
      <c r="F17" s="5">
        <v>0.11799999999999999</v>
      </c>
      <c r="G17" s="3">
        <v>0.123</v>
      </c>
      <c r="H17" s="3">
        <v>0.129</v>
      </c>
      <c r="I17" s="16">
        <v>0.26400000000000001</v>
      </c>
      <c r="J17" s="3">
        <v>0.129</v>
      </c>
      <c r="K17" s="3">
        <v>0.124</v>
      </c>
      <c r="L17" s="3">
        <v>0.126</v>
      </c>
      <c r="M17" s="17">
        <v>0.153</v>
      </c>
      <c r="N17" s="19">
        <v>0.14399999999999999</v>
      </c>
      <c r="O17" s="3">
        <v>0.123</v>
      </c>
      <c r="P17" s="8">
        <v>490</v>
      </c>
      <c r="AG17" s="54" t="s">
        <v>9</v>
      </c>
      <c r="AH17" s="5">
        <v>0.113</v>
      </c>
      <c r="AI17" s="5">
        <v>0.115</v>
      </c>
      <c r="AJ17" s="5">
        <v>0.11600000000000001</v>
      </c>
      <c r="AK17" s="5">
        <v>0.11600000000000001</v>
      </c>
      <c r="AL17" s="5">
        <v>0.12</v>
      </c>
      <c r="AM17" s="28">
        <v>0.19700000000000001</v>
      </c>
      <c r="AN17" s="5">
        <v>0.11600000000000001</v>
      </c>
      <c r="AO17" s="5">
        <v>0.11700000000000001</v>
      </c>
      <c r="AP17" s="5">
        <v>0.11700000000000001</v>
      </c>
      <c r="AQ17" s="5">
        <v>0.11700000000000001</v>
      </c>
      <c r="AR17" s="5">
        <v>0.112</v>
      </c>
      <c r="AS17" s="5">
        <v>0.11700000000000001</v>
      </c>
      <c r="AT17" s="8">
        <v>490</v>
      </c>
    </row>
    <row r="18" spans="1:46">
      <c r="C18" s="55"/>
      <c r="D18" s="10">
        <v>8.8999999999999996E-2</v>
      </c>
      <c r="E18" s="10">
        <v>8.7999999999999995E-2</v>
      </c>
      <c r="F18" s="10">
        <v>8.8999999999999996E-2</v>
      </c>
      <c r="G18" s="11">
        <v>9.2999999999999999E-2</v>
      </c>
      <c r="H18" s="11">
        <v>9.0999999999999998E-2</v>
      </c>
      <c r="I18" s="11">
        <v>9.1999999999999998E-2</v>
      </c>
      <c r="J18" s="15">
        <v>9.5000000000000001E-2</v>
      </c>
      <c r="K18" s="11">
        <v>9.0999999999999998E-2</v>
      </c>
      <c r="L18" s="11">
        <v>9.1999999999999998E-2</v>
      </c>
      <c r="M18" s="20">
        <v>0.12</v>
      </c>
      <c r="N18" s="21">
        <v>0.114</v>
      </c>
      <c r="O18" s="11">
        <v>9.0999999999999998E-2</v>
      </c>
      <c r="P18" s="8">
        <v>750</v>
      </c>
      <c r="AG18" s="55"/>
      <c r="AH18" s="11">
        <v>8.8999999999999996E-2</v>
      </c>
      <c r="AI18" s="15">
        <v>8.8999999999999996E-2</v>
      </c>
      <c r="AJ18" s="11">
        <v>8.7999999999999995E-2</v>
      </c>
      <c r="AK18" s="11">
        <v>8.7999999999999995E-2</v>
      </c>
      <c r="AL18" s="10">
        <v>8.6999999999999994E-2</v>
      </c>
      <c r="AM18" s="11">
        <v>8.7999999999999995E-2</v>
      </c>
      <c r="AN18" s="11">
        <v>8.7999999999999995E-2</v>
      </c>
      <c r="AO18" s="11">
        <v>8.7999999999999995E-2</v>
      </c>
      <c r="AP18" s="10">
        <v>8.6999999999999994E-2</v>
      </c>
      <c r="AQ18" s="10">
        <v>8.6999999999999994E-2</v>
      </c>
      <c r="AR18" s="10">
        <v>8.5999999999999993E-2</v>
      </c>
      <c r="AS18" s="10">
        <v>8.6999999999999994E-2</v>
      </c>
      <c r="AT18" s="8">
        <v>750</v>
      </c>
    </row>
    <row r="20" spans="1:46">
      <c r="A20" t="s">
        <v>0</v>
      </c>
      <c r="B20">
        <v>24</v>
      </c>
      <c r="C20" s="1"/>
      <c r="D20" s="2">
        <v>1</v>
      </c>
      <c r="E20" s="2">
        <v>2</v>
      </c>
      <c r="F20" s="2">
        <v>3</v>
      </c>
      <c r="G20" s="2">
        <v>4</v>
      </c>
      <c r="H20" s="2">
        <v>5</v>
      </c>
      <c r="I20" s="2">
        <v>6</v>
      </c>
      <c r="J20" s="2">
        <v>7</v>
      </c>
      <c r="K20" s="2">
        <v>8</v>
      </c>
      <c r="L20" s="2">
        <v>9</v>
      </c>
      <c r="M20" s="2">
        <v>10</v>
      </c>
      <c r="N20" s="2">
        <v>11</v>
      </c>
      <c r="O20" s="2">
        <v>12</v>
      </c>
      <c r="Q20" t="s">
        <v>10</v>
      </c>
      <c r="R20" s="27">
        <v>24</v>
      </c>
      <c r="S20" s="1"/>
      <c r="T20" s="2">
        <v>1</v>
      </c>
      <c r="U20" s="2">
        <v>2</v>
      </c>
      <c r="V20" s="2">
        <v>3</v>
      </c>
      <c r="W20" s="2">
        <v>4</v>
      </c>
      <c r="X20" s="2">
        <v>5</v>
      </c>
      <c r="Y20" s="2">
        <v>6</v>
      </c>
      <c r="Z20" s="2">
        <v>7</v>
      </c>
      <c r="AA20" s="2">
        <v>8</v>
      </c>
      <c r="AB20" s="2">
        <v>9</v>
      </c>
      <c r="AC20" s="2">
        <v>10</v>
      </c>
      <c r="AD20" s="2">
        <v>11</v>
      </c>
      <c r="AE20" s="2">
        <v>12</v>
      </c>
    </row>
    <row r="21" spans="1:46">
      <c r="C21" s="54" t="s">
        <v>2</v>
      </c>
      <c r="D21" s="5">
        <v>0.16400000000000001</v>
      </c>
      <c r="E21" s="17">
        <v>0.36799999999999999</v>
      </c>
      <c r="F21" s="5">
        <v>0.17</v>
      </c>
      <c r="G21" s="5">
        <v>0.17199999999999999</v>
      </c>
      <c r="H21" s="5">
        <v>0.186</v>
      </c>
      <c r="I21" s="5">
        <v>0.17899999999999999</v>
      </c>
      <c r="J21" s="3">
        <v>0.23899999999999999</v>
      </c>
      <c r="K21" s="19">
        <v>0.34699999999999998</v>
      </c>
      <c r="L21" s="3">
        <v>0.22800000000000001</v>
      </c>
      <c r="M21" s="17">
        <v>0.40200000000000002</v>
      </c>
      <c r="N21" s="16">
        <v>0.92800000000000005</v>
      </c>
      <c r="O21" s="17">
        <v>0.37</v>
      </c>
      <c r="P21" s="8">
        <v>490</v>
      </c>
      <c r="S21" s="54" t="s">
        <v>2</v>
      </c>
      <c r="T21" s="5">
        <v>0.16600000000000001</v>
      </c>
      <c r="U21" s="17">
        <v>0.40899999999999997</v>
      </c>
      <c r="V21" s="5">
        <v>0.17299999999999999</v>
      </c>
      <c r="W21" s="5">
        <v>0.17499999999999999</v>
      </c>
      <c r="X21" s="5">
        <v>0.182</v>
      </c>
      <c r="Y21" s="5">
        <v>0.185</v>
      </c>
      <c r="Z21" s="3">
        <v>0.24199999999999999</v>
      </c>
      <c r="AA21" s="17">
        <v>0.35699999999999998</v>
      </c>
      <c r="AB21" s="7">
        <v>0.25600000000000001</v>
      </c>
      <c r="AC21" s="6">
        <v>0.434</v>
      </c>
      <c r="AD21" s="16">
        <v>0.9</v>
      </c>
      <c r="AE21" s="17">
        <v>0.36899999999999999</v>
      </c>
      <c r="AF21" s="8">
        <v>490</v>
      </c>
    </row>
    <row r="22" spans="1:46">
      <c r="C22" s="55"/>
      <c r="D22" s="10">
        <v>0.11799999999999999</v>
      </c>
      <c r="E22" s="10">
        <v>0.127</v>
      </c>
      <c r="F22" s="10">
        <v>0.123</v>
      </c>
      <c r="G22" s="10">
        <v>0.123</v>
      </c>
      <c r="H22" s="11">
        <v>0.13700000000000001</v>
      </c>
      <c r="I22" s="10">
        <v>0.11899999999999999</v>
      </c>
      <c r="J22" s="15">
        <v>0.17499999999999999</v>
      </c>
      <c r="K22" s="22">
        <v>0.24099999999999999</v>
      </c>
      <c r="L22" s="11">
        <v>0.158</v>
      </c>
      <c r="M22" s="22">
        <v>0.254</v>
      </c>
      <c r="N22" s="12">
        <v>0.52700000000000002</v>
      </c>
      <c r="O22" s="13">
        <v>0.26500000000000001</v>
      </c>
      <c r="P22" s="8">
        <v>750</v>
      </c>
      <c r="S22" s="55"/>
      <c r="T22" s="10">
        <v>0.11799999999999999</v>
      </c>
      <c r="U22" s="11">
        <v>0.13100000000000001</v>
      </c>
      <c r="V22" s="10">
        <v>0.126</v>
      </c>
      <c r="W22" s="10">
        <v>0.125</v>
      </c>
      <c r="X22" s="11">
        <v>0.13400000000000001</v>
      </c>
      <c r="Y22" s="10">
        <v>0.123</v>
      </c>
      <c r="Z22" s="15">
        <v>0.17499999999999999</v>
      </c>
      <c r="AA22" s="22">
        <v>0.26</v>
      </c>
      <c r="AB22" s="15">
        <v>0.17899999999999999</v>
      </c>
      <c r="AC22" s="23">
        <v>0.30199999999999999</v>
      </c>
      <c r="AD22" s="12">
        <v>0.56299999999999994</v>
      </c>
      <c r="AE22" s="22">
        <v>0.25600000000000001</v>
      </c>
      <c r="AF22" s="8">
        <v>750</v>
      </c>
    </row>
    <row r="23" spans="1:46">
      <c r="C23" s="54" t="s">
        <v>3</v>
      </c>
      <c r="D23" s="5">
        <v>0.16800000000000001</v>
      </c>
      <c r="E23" s="6">
        <v>0.45100000000000001</v>
      </c>
      <c r="F23" s="17">
        <v>0.39300000000000002</v>
      </c>
      <c r="G23" s="5">
        <v>0.182</v>
      </c>
      <c r="H23" s="3">
        <v>0.19700000000000001</v>
      </c>
      <c r="I23" s="3">
        <v>0.23200000000000001</v>
      </c>
      <c r="J23" s="3">
        <v>0.25</v>
      </c>
      <c r="K23" s="14">
        <v>0.66500000000000004</v>
      </c>
      <c r="L23" s="7">
        <v>0.25600000000000001</v>
      </c>
      <c r="M23" s="3">
        <v>0.219</v>
      </c>
      <c r="N23" s="4">
        <v>0.50600000000000001</v>
      </c>
      <c r="O23" s="19">
        <v>0.35299999999999998</v>
      </c>
      <c r="P23" s="8">
        <v>490</v>
      </c>
      <c r="S23" s="54" t="s">
        <v>3</v>
      </c>
      <c r="T23" s="5">
        <v>0.16800000000000001</v>
      </c>
      <c r="U23" s="17">
        <v>0.35699999999999998</v>
      </c>
      <c r="V23" s="19">
        <v>0.33900000000000002</v>
      </c>
      <c r="W23" s="5">
        <v>0.18099999999999999</v>
      </c>
      <c r="X23" s="3">
        <v>0.19800000000000001</v>
      </c>
      <c r="Y23" s="7">
        <v>0.248</v>
      </c>
      <c r="Z23" s="7">
        <v>0.26800000000000002</v>
      </c>
      <c r="AA23" s="28">
        <v>0.621</v>
      </c>
      <c r="AB23" s="7">
        <v>0.26700000000000002</v>
      </c>
      <c r="AC23" s="7">
        <v>0.247</v>
      </c>
      <c r="AD23" s="6">
        <v>0.42699999999999999</v>
      </c>
      <c r="AE23" s="19">
        <v>0.32600000000000001</v>
      </c>
      <c r="AF23" s="8">
        <v>490</v>
      </c>
    </row>
    <row r="24" spans="1:46">
      <c r="C24" s="55"/>
      <c r="D24" s="10">
        <v>0.12</v>
      </c>
      <c r="E24" s="23">
        <v>0.318</v>
      </c>
      <c r="F24" s="13">
        <v>0.28100000000000003</v>
      </c>
      <c r="G24" s="10">
        <v>0.122</v>
      </c>
      <c r="H24" s="11">
        <v>0.13500000000000001</v>
      </c>
      <c r="I24" s="15">
        <v>0.17299999999999999</v>
      </c>
      <c r="J24" s="15">
        <v>0.192</v>
      </c>
      <c r="K24" s="15">
        <v>0.17299999999999999</v>
      </c>
      <c r="L24" s="15">
        <v>0.193</v>
      </c>
      <c r="M24" s="15">
        <v>0.183</v>
      </c>
      <c r="N24" s="21">
        <v>0.34100000000000003</v>
      </c>
      <c r="O24" s="22">
        <v>0.24299999999999999</v>
      </c>
      <c r="P24" s="8">
        <v>750</v>
      </c>
      <c r="S24" s="55"/>
      <c r="T24" s="10">
        <v>0.121</v>
      </c>
      <c r="U24" s="22">
        <v>0.23200000000000001</v>
      </c>
      <c r="V24" s="22">
        <v>0.23400000000000001</v>
      </c>
      <c r="W24" s="10">
        <v>0.122</v>
      </c>
      <c r="X24" s="11">
        <v>0.13500000000000001</v>
      </c>
      <c r="Y24" s="15">
        <v>0.18</v>
      </c>
      <c r="Z24" s="9">
        <v>0.19800000000000001</v>
      </c>
      <c r="AA24" s="15">
        <v>0.185</v>
      </c>
      <c r="AB24" s="15">
        <v>0.193</v>
      </c>
      <c r="AC24" s="9">
        <v>0.19500000000000001</v>
      </c>
      <c r="AD24" s="13">
        <v>0.28199999999999997</v>
      </c>
      <c r="AE24" s="9">
        <v>0.219</v>
      </c>
      <c r="AF24" s="8">
        <v>750</v>
      </c>
    </row>
    <row r="25" spans="1:46">
      <c r="C25" s="54" t="s">
        <v>4</v>
      </c>
      <c r="D25" s="5">
        <v>0.17</v>
      </c>
      <c r="E25" s="5">
        <v>0.182</v>
      </c>
      <c r="F25" s="5">
        <v>0.16900000000000001</v>
      </c>
      <c r="G25" s="24">
        <v>0.75900000000000001</v>
      </c>
      <c r="H25" s="5">
        <v>0.188</v>
      </c>
      <c r="I25" s="19">
        <v>0.34799999999999998</v>
      </c>
      <c r="J25" s="25">
        <v>0.85299999999999998</v>
      </c>
      <c r="K25" s="7">
        <v>0.26700000000000002</v>
      </c>
      <c r="L25" s="16">
        <v>0.93899999999999995</v>
      </c>
      <c r="M25" s="19">
        <v>0.313</v>
      </c>
      <c r="N25" s="3">
        <v>0.23100000000000001</v>
      </c>
      <c r="O25" s="7">
        <v>0.28199999999999997</v>
      </c>
      <c r="P25" s="8">
        <v>490</v>
      </c>
      <c r="S25" s="54" t="s">
        <v>4</v>
      </c>
      <c r="T25" s="5">
        <v>0.16700000000000001</v>
      </c>
      <c r="U25" s="5">
        <v>0.17499999999999999</v>
      </c>
      <c r="V25" s="5">
        <v>0.16800000000000001</v>
      </c>
      <c r="W25" s="29">
        <v>0.75800000000000001</v>
      </c>
      <c r="X25" s="5">
        <v>0.188</v>
      </c>
      <c r="Y25" s="19">
        <v>0.33700000000000002</v>
      </c>
      <c r="Z25" s="16">
        <v>0.89900000000000002</v>
      </c>
      <c r="AA25" s="7">
        <v>0.28999999999999998</v>
      </c>
      <c r="AB25" s="16">
        <v>0.89800000000000002</v>
      </c>
      <c r="AC25" s="19">
        <v>0.32600000000000001</v>
      </c>
      <c r="AD25" s="3">
        <v>0.23</v>
      </c>
      <c r="AE25" s="7">
        <v>0.27500000000000002</v>
      </c>
      <c r="AF25" s="8">
        <v>490</v>
      </c>
    </row>
    <row r="26" spans="1:46">
      <c r="C26" s="55"/>
      <c r="D26" s="10">
        <v>0.122</v>
      </c>
      <c r="E26" s="10">
        <v>0.112</v>
      </c>
      <c r="F26" s="10">
        <v>0.122</v>
      </c>
      <c r="G26" s="22">
        <v>0.25600000000000001</v>
      </c>
      <c r="H26" s="11">
        <v>0.13800000000000001</v>
      </c>
      <c r="I26" s="9">
        <v>0.214</v>
      </c>
      <c r="J26" s="26">
        <v>0.50800000000000001</v>
      </c>
      <c r="K26" s="15">
        <v>0.187</v>
      </c>
      <c r="L26" s="12">
        <v>0.54900000000000004</v>
      </c>
      <c r="M26" s="22">
        <v>0.22700000000000001</v>
      </c>
      <c r="N26" s="15">
        <v>0.16800000000000001</v>
      </c>
      <c r="O26" s="9">
        <v>0.20300000000000001</v>
      </c>
      <c r="P26" s="8">
        <v>750</v>
      </c>
      <c r="S26" s="55"/>
      <c r="T26" s="10">
        <v>0.12</v>
      </c>
      <c r="U26" s="10">
        <v>0.108</v>
      </c>
      <c r="V26" s="10">
        <v>0.122</v>
      </c>
      <c r="W26" s="22">
        <v>0.245</v>
      </c>
      <c r="X26" s="11">
        <v>0.13700000000000001</v>
      </c>
      <c r="Y26" s="9">
        <v>0.20499999999999999</v>
      </c>
      <c r="Z26" s="12">
        <v>0.53100000000000003</v>
      </c>
      <c r="AA26" s="15">
        <v>0.185</v>
      </c>
      <c r="AB26" s="26">
        <v>0.51300000000000001</v>
      </c>
      <c r="AC26" s="22">
        <v>0.23400000000000001</v>
      </c>
      <c r="AD26" s="15">
        <v>0.16900000000000001</v>
      </c>
      <c r="AE26" s="15">
        <v>0.19400000000000001</v>
      </c>
      <c r="AF26" s="8">
        <v>750</v>
      </c>
    </row>
    <row r="27" spans="1:46">
      <c r="C27" s="54" t="s">
        <v>5</v>
      </c>
      <c r="D27" s="5">
        <v>0.17399999999999999</v>
      </c>
      <c r="E27" s="5">
        <v>0.157</v>
      </c>
      <c r="F27" s="5">
        <v>0.16400000000000001</v>
      </c>
      <c r="G27" s="5">
        <v>0.17699999999999999</v>
      </c>
      <c r="H27" s="3">
        <v>0.19600000000000001</v>
      </c>
      <c r="I27" s="3">
        <v>0.24299999999999999</v>
      </c>
      <c r="J27" s="3">
        <v>0.22500000000000001</v>
      </c>
      <c r="K27" s="3">
        <v>0.23</v>
      </c>
      <c r="L27" s="3">
        <v>0.216</v>
      </c>
      <c r="M27" s="3">
        <v>0.23300000000000001</v>
      </c>
      <c r="N27" s="4">
        <v>0.53600000000000003</v>
      </c>
      <c r="O27" s="7">
        <v>0.26900000000000002</v>
      </c>
      <c r="P27" s="8">
        <v>490</v>
      </c>
      <c r="S27" s="54" t="s">
        <v>5</v>
      </c>
      <c r="T27" s="5">
        <v>0.16600000000000001</v>
      </c>
      <c r="U27" s="5">
        <v>0.16</v>
      </c>
      <c r="V27" s="5">
        <v>0.16500000000000001</v>
      </c>
      <c r="W27" s="5">
        <v>0.18099999999999999</v>
      </c>
      <c r="X27" s="3">
        <v>0.20300000000000001</v>
      </c>
      <c r="Y27" s="3">
        <v>0.24199999999999999</v>
      </c>
      <c r="Z27" s="3">
        <v>0.23799999999999999</v>
      </c>
      <c r="AA27" s="7">
        <v>0.25800000000000001</v>
      </c>
      <c r="AB27" s="3">
        <v>0.23599999999999999</v>
      </c>
      <c r="AC27" s="3">
        <v>0.24299999999999999</v>
      </c>
      <c r="AD27" s="6">
        <v>0.46500000000000002</v>
      </c>
      <c r="AE27" s="7">
        <v>0.26100000000000001</v>
      </c>
      <c r="AF27" s="8">
        <v>490</v>
      </c>
    </row>
    <row r="28" spans="1:46">
      <c r="C28" s="55"/>
      <c r="D28" s="10">
        <v>0.124</v>
      </c>
      <c r="E28" s="10">
        <v>0.114</v>
      </c>
      <c r="F28" s="10">
        <v>0.11799999999999999</v>
      </c>
      <c r="G28" s="11">
        <v>0.13</v>
      </c>
      <c r="H28" s="11">
        <v>0.14199999999999999</v>
      </c>
      <c r="I28" s="15">
        <v>0.17399999999999999</v>
      </c>
      <c r="J28" s="15">
        <v>0.16600000000000001</v>
      </c>
      <c r="K28" s="15">
        <v>0.17199999999999999</v>
      </c>
      <c r="L28" s="11">
        <v>0.16</v>
      </c>
      <c r="M28" s="15">
        <v>0.18</v>
      </c>
      <c r="N28" s="21">
        <v>0.35499999999999998</v>
      </c>
      <c r="O28" s="15">
        <v>0.192</v>
      </c>
      <c r="P28" s="8">
        <v>750</v>
      </c>
      <c r="S28" s="55"/>
      <c r="T28" s="10">
        <v>0.11799999999999999</v>
      </c>
      <c r="U28" s="10">
        <v>0.11600000000000001</v>
      </c>
      <c r="V28" s="10">
        <v>0.12</v>
      </c>
      <c r="W28" s="11">
        <v>0.13300000000000001</v>
      </c>
      <c r="X28" s="11">
        <v>0.14699999999999999</v>
      </c>
      <c r="Y28" s="15">
        <v>0.17699999999999999</v>
      </c>
      <c r="Z28" s="15">
        <v>0.17599999999999999</v>
      </c>
      <c r="AA28" s="15">
        <v>0.19</v>
      </c>
      <c r="AB28" s="15">
        <v>0.17299999999999999</v>
      </c>
      <c r="AC28" s="15">
        <v>0.18099999999999999</v>
      </c>
      <c r="AD28" s="13">
        <v>0.28499999999999998</v>
      </c>
      <c r="AE28" s="15">
        <v>0.185</v>
      </c>
      <c r="AF28" s="8">
        <v>750</v>
      </c>
    </row>
    <row r="29" spans="1:46">
      <c r="C29" s="54" t="s">
        <v>6</v>
      </c>
      <c r="D29" s="7">
        <v>0.27700000000000002</v>
      </c>
      <c r="E29" s="5">
        <v>0.155</v>
      </c>
      <c r="F29" s="5">
        <v>0.16200000000000001</v>
      </c>
      <c r="G29" s="3">
        <v>0.19500000000000001</v>
      </c>
      <c r="H29" s="5">
        <v>0.184</v>
      </c>
      <c r="I29" s="3">
        <v>0.2</v>
      </c>
      <c r="J29" s="3">
        <v>0.19700000000000001</v>
      </c>
      <c r="K29" s="3">
        <v>0.215</v>
      </c>
      <c r="L29" s="7">
        <v>0.28199999999999997</v>
      </c>
      <c r="M29" s="7">
        <v>0.26400000000000001</v>
      </c>
      <c r="N29" s="3">
        <v>0.222</v>
      </c>
      <c r="O29" s="3">
        <v>0.23799999999999999</v>
      </c>
      <c r="P29" s="8">
        <v>490</v>
      </c>
      <c r="S29" s="54" t="s">
        <v>6</v>
      </c>
      <c r="T29" s="3">
        <v>0.23200000000000001</v>
      </c>
      <c r="U29" s="5">
        <v>0.155</v>
      </c>
      <c r="V29" s="5">
        <v>0.16400000000000001</v>
      </c>
      <c r="W29" s="3">
        <v>0.20699999999999999</v>
      </c>
      <c r="X29" s="5">
        <v>0.17499999999999999</v>
      </c>
      <c r="Y29" s="3">
        <v>0.20300000000000001</v>
      </c>
      <c r="Z29" s="3">
        <v>0.21199999999999999</v>
      </c>
      <c r="AA29" s="3">
        <v>0.223</v>
      </c>
      <c r="AB29" s="7">
        <v>0.29599999999999999</v>
      </c>
      <c r="AC29" s="19">
        <v>0.316</v>
      </c>
      <c r="AD29" s="3">
        <v>0.224</v>
      </c>
      <c r="AE29" s="3">
        <v>0.23300000000000001</v>
      </c>
      <c r="AF29" s="8">
        <v>490</v>
      </c>
    </row>
    <row r="30" spans="1:46">
      <c r="C30" s="55"/>
      <c r="D30" s="9">
        <v>0.19900000000000001</v>
      </c>
      <c r="E30" s="10">
        <v>0.115</v>
      </c>
      <c r="F30" s="10">
        <v>0.11899999999999999</v>
      </c>
      <c r="G30" s="10">
        <v>0.124</v>
      </c>
      <c r="H30" s="11">
        <v>0.13200000000000001</v>
      </c>
      <c r="I30" s="11">
        <v>0.14599999999999999</v>
      </c>
      <c r="J30" s="11">
        <v>0.14399999999999999</v>
      </c>
      <c r="K30" s="11">
        <v>0.159</v>
      </c>
      <c r="L30" s="9">
        <v>0.21299999999999999</v>
      </c>
      <c r="M30" s="15">
        <v>0.186</v>
      </c>
      <c r="N30" s="15">
        <v>0.16600000000000001</v>
      </c>
      <c r="O30" s="15">
        <v>0.17199999999999999</v>
      </c>
      <c r="P30" s="8">
        <v>750</v>
      </c>
      <c r="S30" s="55"/>
      <c r="T30" s="15">
        <v>0.17399999999999999</v>
      </c>
      <c r="U30" s="10">
        <v>0.115</v>
      </c>
      <c r="V30" s="10">
        <v>0.122</v>
      </c>
      <c r="W30" s="11">
        <v>0.13200000000000001</v>
      </c>
      <c r="X30" s="10">
        <v>0.126</v>
      </c>
      <c r="Y30" s="11">
        <v>0.14899999999999999</v>
      </c>
      <c r="Z30" s="11">
        <v>0.157</v>
      </c>
      <c r="AA30" s="15">
        <v>0.16500000000000001</v>
      </c>
      <c r="AB30" s="9">
        <v>0.2</v>
      </c>
      <c r="AC30" s="9">
        <v>0.219</v>
      </c>
      <c r="AD30" s="15">
        <v>0.16800000000000001</v>
      </c>
      <c r="AE30" s="15">
        <v>0.16900000000000001</v>
      </c>
      <c r="AF30" s="8">
        <v>750</v>
      </c>
    </row>
    <row r="31" spans="1:46">
      <c r="C31" s="54" t="s">
        <v>7</v>
      </c>
      <c r="D31" s="5">
        <v>0.159</v>
      </c>
      <c r="E31" s="5">
        <v>0.14799999999999999</v>
      </c>
      <c r="F31" s="5">
        <v>0.16</v>
      </c>
      <c r="G31" s="3">
        <v>0.20100000000000001</v>
      </c>
      <c r="H31" s="5">
        <v>0.16800000000000001</v>
      </c>
      <c r="I31" s="5">
        <v>0.17399999999999999</v>
      </c>
      <c r="J31" s="3">
        <v>0.19900000000000001</v>
      </c>
      <c r="K31" s="3">
        <v>0.20100000000000001</v>
      </c>
      <c r="L31" s="5">
        <v>0.17899999999999999</v>
      </c>
      <c r="M31" s="5">
        <v>0.16800000000000001</v>
      </c>
      <c r="N31" s="5">
        <v>0.19400000000000001</v>
      </c>
      <c r="O31" s="3">
        <v>0.215</v>
      </c>
      <c r="P31" s="8">
        <v>490</v>
      </c>
      <c r="S31" s="54" t="s">
        <v>7</v>
      </c>
      <c r="T31" s="5">
        <v>0.155</v>
      </c>
      <c r="U31" s="5">
        <v>0.153</v>
      </c>
      <c r="V31" s="5">
        <v>0.16200000000000001</v>
      </c>
      <c r="W31" s="5">
        <v>0.161</v>
      </c>
      <c r="X31" s="5">
        <v>0.16500000000000001</v>
      </c>
      <c r="Y31" s="5">
        <v>0.18</v>
      </c>
      <c r="Z31" s="5">
        <v>0.17699999999999999</v>
      </c>
      <c r="AA31" s="3">
        <v>0.20599999999999999</v>
      </c>
      <c r="AB31" s="5">
        <v>0.185</v>
      </c>
      <c r="AC31" s="5">
        <v>0.18</v>
      </c>
      <c r="AD31" s="3">
        <v>0.19800000000000001</v>
      </c>
      <c r="AE31" s="3">
        <v>0.218</v>
      </c>
      <c r="AF31" s="8">
        <v>490</v>
      </c>
    </row>
    <row r="32" spans="1:46">
      <c r="C32" s="55"/>
      <c r="D32" s="10">
        <v>0.115</v>
      </c>
      <c r="E32" s="10">
        <v>0.11</v>
      </c>
      <c r="F32" s="10">
        <v>0.11799999999999999</v>
      </c>
      <c r="G32" s="10">
        <v>0.11799999999999999</v>
      </c>
      <c r="H32" s="10">
        <v>0.123</v>
      </c>
      <c r="I32" s="10">
        <v>0.126</v>
      </c>
      <c r="J32" s="11">
        <v>0.14000000000000001</v>
      </c>
      <c r="K32" s="11">
        <v>0.14499999999999999</v>
      </c>
      <c r="L32" s="10">
        <v>0.129</v>
      </c>
      <c r="M32" s="10">
        <v>0.11799999999999999</v>
      </c>
      <c r="N32" s="11">
        <v>0.14299999999999999</v>
      </c>
      <c r="O32" s="11">
        <v>0.156</v>
      </c>
      <c r="P32" s="8">
        <v>750</v>
      </c>
      <c r="S32" s="55"/>
      <c r="T32" s="10">
        <v>0.113</v>
      </c>
      <c r="U32" s="10">
        <v>0.115</v>
      </c>
      <c r="V32" s="10">
        <v>0.121</v>
      </c>
      <c r="W32" s="10">
        <v>0.11799999999999999</v>
      </c>
      <c r="X32" s="10">
        <v>0.122</v>
      </c>
      <c r="Y32" s="11">
        <v>0.13100000000000001</v>
      </c>
      <c r="Z32" s="11">
        <v>0.13</v>
      </c>
      <c r="AA32" s="11">
        <v>0.14899999999999999</v>
      </c>
      <c r="AB32" s="11">
        <v>0.13600000000000001</v>
      </c>
      <c r="AC32" s="11">
        <v>0.129</v>
      </c>
      <c r="AD32" s="11">
        <v>0.14599999999999999</v>
      </c>
      <c r="AE32" s="11">
        <v>0.157</v>
      </c>
      <c r="AF32" s="8">
        <v>750</v>
      </c>
    </row>
    <row r="33" spans="1:32">
      <c r="C33" s="54" t="s">
        <v>8</v>
      </c>
      <c r="D33" s="5">
        <v>0.161</v>
      </c>
      <c r="E33" s="5">
        <v>0.14599999999999999</v>
      </c>
      <c r="F33" s="5">
        <v>0.13800000000000001</v>
      </c>
      <c r="G33" s="5">
        <v>0.16</v>
      </c>
      <c r="H33" s="5">
        <v>0.16400000000000001</v>
      </c>
      <c r="I33" s="5">
        <v>0.17499999999999999</v>
      </c>
      <c r="J33" s="5">
        <v>0.17899999999999999</v>
      </c>
      <c r="K33" s="5">
        <v>0.16800000000000001</v>
      </c>
      <c r="L33" s="5">
        <v>0.17699999999999999</v>
      </c>
      <c r="M33" s="5">
        <v>0.184</v>
      </c>
      <c r="N33" s="5">
        <v>0.16500000000000001</v>
      </c>
      <c r="O33" s="5">
        <v>0.17</v>
      </c>
      <c r="P33" s="8">
        <v>490</v>
      </c>
      <c r="S33" s="54" t="s">
        <v>8</v>
      </c>
      <c r="T33" s="5">
        <v>0.16</v>
      </c>
      <c r="U33" s="5">
        <v>0.14599999999999999</v>
      </c>
      <c r="V33" s="5">
        <v>0.13800000000000001</v>
      </c>
      <c r="W33" s="5">
        <v>0.16200000000000001</v>
      </c>
      <c r="X33" s="5">
        <v>0.17100000000000001</v>
      </c>
      <c r="Y33" s="5">
        <v>0.17199999999999999</v>
      </c>
      <c r="Z33" s="5">
        <v>0.17499999999999999</v>
      </c>
      <c r="AA33" s="5">
        <v>0.17199999999999999</v>
      </c>
      <c r="AB33" s="5">
        <v>0.183</v>
      </c>
      <c r="AC33" s="3">
        <v>0.23599999999999999</v>
      </c>
      <c r="AD33" s="5">
        <v>0.16600000000000001</v>
      </c>
      <c r="AE33" s="5">
        <v>0.17499999999999999</v>
      </c>
      <c r="AF33" s="8">
        <v>490</v>
      </c>
    </row>
    <row r="34" spans="1:32">
      <c r="C34" s="55"/>
      <c r="D34" s="10">
        <v>0.115</v>
      </c>
      <c r="E34" s="10">
        <v>0.109</v>
      </c>
      <c r="F34" s="10">
        <v>9.9000000000000005E-2</v>
      </c>
      <c r="G34" s="10">
        <v>0.11600000000000001</v>
      </c>
      <c r="H34" s="10">
        <v>0.124</v>
      </c>
      <c r="I34" s="10">
        <v>0.129</v>
      </c>
      <c r="J34" s="11">
        <v>0.13100000000000001</v>
      </c>
      <c r="K34" s="10">
        <v>0.123</v>
      </c>
      <c r="L34" s="11">
        <v>0.13100000000000001</v>
      </c>
      <c r="M34" s="11">
        <v>0.13700000000000001</v>
      </c>
      <c r="N34" s="10">
        <v>0.121</v>
      </c>
      <c r="O34" s="10">
        <v>0.122</v>
      </c>
      <c r="P34" s="8">
        <v>750</v>
      </c>
      <c r="S34" s="55"/>
      <c r="T34" s="10">
        <v>0.115</v>
      </c>
      <c r="U34" s="10">
        <v>0.11</v>
      </c>
      <c r="V34" s="10">
        <v>0.1</v>
      </c>
      <c r="W34" s="10">
        <v>0.11700000000000001</v>
      </c>
      <c r="X34" s="11">
        <v>0.13</v>
      </c>
      <c r="Y34" s="10">
        <v>0.126</v>
      </c>
      <c r="Z34" s="10">
        <v>0.128</v>
      </c>
      <c r="AA34" s="10">
        <v>0.127</v>
      </c>
      <c r="AB34" s="11">
        <v>0.13800000000000001</v>
      </c>
      <c r="AC34" s="15">
        <v>0.16900000000000001</v>
      </c>
      <c r="AD34" s="10">
        <v>0.124</v>
      </c>
      <c r="AE34" s="10">
        <v>0.127</v>
      </c>
      <c r="AF34" s="8">
        <v>750</v>
      </c>
    </row>
    <row r="35" spans="1:32">
      <c r="C35" s="54" t="s">
        <v>9</v>
      </c>
      <c r="D35" s="5">
        <v>0.159</v>
      </c>
      <c r="E35" s="5">
        <v>0.154</v>
      </c>
      <c r="F35" s="5">
        <v>0.16600000000000001</v>
      </c>
      <c r="G35" s="5">
        <v>0.16200000000000001</v>
      </c>
      <c r="H35" s="7">
        <v>0.29499999999999998</v>
      </c>
      <c r="I35" s="4">
        <v>0.51900000000000002</v>
      </c>
      <c r="J35" s="5">
        <v>0.184</v>
      </c>
      <c r="K35" s="5">
        <v>0.182</v>
      </c>
      <c r="L35" s="5">
        <v>0.17699999999999999</v>
      </c>
      <c r="M35" s="5">
        <v>0.16900000000000001</v>
      </c>
      <c r="N35" s="5">
        <v>0.19</v>
      </c>
      <c r="O35" s="5">
        <v>0.16500000000000001</v>
      </c>
      <c r="P35" s="8">
        <v>490</v>
      </c>
      <c r="S35" s="54" t="s">
        <v>9</v>
      </c>
      <c r="T35" s="5">
        <v>0.157</v>
      </c>
      <c r="U35" s="5">
        <v>0.154</v>
      </c>
      <c r="V35" s="5">
        <v>0.16300000000000001</v>
      </c>
      <c r="W35" s="5">
        <v>0.157</v>
      </c>
      <c r="X35" s="19">
        <v>0.30299999999999999</v>
      </c>
      <c r="Y35" s="30">
        <v>0.52300000000000002</v>
      </c>
      <c r="Z35" s="5">
        <v>0.18</v>
      </c>
      <c r="AA35" s="5">
        <v>0.184</v>
      </c>
      <c r="AB35" s="5">
        <v>0.17899999999999999</v>
      </c>
      <c r="AC35" s="5">
        <v>0.17100000000000001</v>
      </c>
      <c r="AD35" s="5">
        <v>0.183</v>
      </c>
      <c r="AE35" s="5">
        <v>0.16800000000000001</v>
      </c>
      <c r="AF35" s="8">
        <v>490</v>
      </c>
    </row>
    <row r="36" spans="1:32">
      <c r="C36" s="55"/>
      <c r="D36" s="10">
        <v>0.115</v>
      </c>
      <c r="E36" s="10">
        <v>0.112</v>
      </c>
      <c r="F36" s="10">
        <v>0.11799999999999999</v>
      </c>
      <c r="G36" s="10">
        <v>0.114</v>
      </c>
      <c r="H36" s="15">
        <v>0.17699999999999999</v>
      </c>
      <c r="I36" s="10">
        <v>0.124</v>
      </c>
      <c r="J36" s="10">
        <v>9.7000000000000003E-2</v>
      </c>
      <c r="K36" s="10">
        <v>0.124</v>
      </c>
      <c r="L36" s="10">
        <v>0.11899999999999999</v>
      </c>
      <c r="M36" s="10">
        <v>0.115</v>
      </c>
      <c r="N36" s="10">
        <v>0.124</v>
      </c>
      <c r="O36" s="10">
        <v>0.11600000000000001</v>
      </c>
      <c r="P36" s="8">
        <v>750</v>
      </c>
      <c r="S36" s="55"/>
      <c r="T36" s="10">
        <v>0.113</v>
      </c>
      <c r="U36" s="10">
        <v>0.112</v>
      </c>
      <c r="V36" s="10">
        <v>0.11600000000000001</v>
      </c>
      <c r="W36" s="10">
        <v>0.11</v>
      </c>
      <c r="X36" s="15">
        <v>0.18</v>
      </c>
      <c r="Y36" s="10">
        <v>0.127</v>
      </c>
      <c r="Z36" s="10">
        <v>9.4E-2</v>
      </c>
      <c r="AA36" s="10">
        <v>0.127</v>
      </c>
      <c r="AB36" s="10">
        <v>0.12</v>
      </c>
      <c r="AC36" s="10">
        <v>0.11600000000000001</v>
      </c>
      <c r="AD36" s="10">
        <v>0.123</v>
      </c>
      <c r="AE36" s="10">
        <v>0.12</v>
      </c>
      <c r="AF36" s="8">
        <v>750</v>
      </c>
    </row>
    <row r="38" spans="1:32">
      <c r="A38" t="s">
        <v>13</v>
      </c>
      <c r="B38">
        <v>48</v>
      </c>
      <c r="C38" s="1"/>
      <c r="D38" s="2">
        <v>1</v>
      </c>
      <c r="E38" s="2">
        <v>2</v>
      </c>
      <c r="F38" s="2">
        <v>3</v>
      </c>
      <c r="G38" s="2">
        <v>4</v>
      </c>
      <c r="H38" s="2">
        <v>5</v>
      </c>
      <c r="I38" s="2">
        <v>6</v>
      </c>
      <c r="J38" s="2">
        <v>7</v>
      </c>
      <c r="K38" s="2">
        <v>8</v>
      </c>
      <c r="L38" s="2">
        <v>9</v>
      </c>
      <c r="M38" s="2">
        <v>10</v>
      </c>
      <c r="N38" s="2">
        <v>11</v>
      </c>
      <c r="O38" s="2">
        <v>12</v>
      </c>
      <c r="Q38" t="s">
        <v>14</v>
      </c>
      <c r="R38" s="27">
        <v>48</v>
      </c>
      <c r="S38" s="1"/>
      <c r="T38" s="2">
        <v>1</v>
      </c>
      <c r="U38" s="2">
        <v>2</v>
      </c>
      <c r="V38" s="2">
        <v>3</v>
      </c>
      <c r="W38" s="2">
        <v>4</v>
      </c>
      <c r="X38" s="2">
        <v>5</v>
      </c>
      <c r="Y38" s="2">
        <v>6</v>
      </c>
      <c r="Z38" s="2">
        <v>7</v>
      </c>
      <c r="AA38" s="2">
        <v>8</v>
      </c>
      <c r="AB38" s="2">
        <v>9</v>
      </c>
      <c r="AC38" s="2">
        <v>10</v>
      </c>
      <c r="AD38" s="2">
        <v>11</v>
      </c>
      <c r="AE38" s="2">
        <v>12</v>
      </c>
    </row>
    <row r="39" spans="1:32">
      <c r="C39" s="54" t="s">
        <v>2</v>
      </c>
      <c r="D39" s="5">
        <v>0.153</v>
      </c>
      <c r="E39" s="7">
        <v>0.39900000000000002</v>
      </c>
      <c r="F39" s="5">
        <v>0.16200000000000001</v>
      </c>
      <c r="G39" s="5">
        <v>0.161</v>
      </c>
      <c r="H39" s="5">
        <v>0.17399999999999999</v>
      </c>
      <c r="I39" s="5">
        <v>0.16700000000000001</v>
      </c>
      <c r="J39" s="5">
        <v>0.224</v>
      </c>
      <c r="K39" s="19">
        <v>0.503</v>
      </c>
      <c r="L39" s="5">
        <v>0.21299999999999999</v>
      </c>
      <c r="M39" s="19">
        <v>0.51200000000000001</v>
      </c>
      <c r="N39" s="30">
        <v>0.97099999999999997</v>
      </c>
      <c r="O39" s="19">
        <v>0.54100000000000004</v>
      </c>
      <c r="P39" s="8">
        <v>490</v>
      </c>
      <c r="S39" s="54" t="s">
        <v>2</v>
      </c>
      <c r="T39" s="5">
        <v>0.155</v>
      </c>
      <c r="U39" s="19">
        <v>0.439</v>
      </c>
      <c r="V39" s="5">
        <v>0.16400000000000001</v>
      </c>
      <c r="W39" s="24">
        <v>1.18</v>
      </c>
      <c r="X39" s="5">
        <v>0.17100000000000001</v>
      </c>
      <c r="Y39" s="7">
        <v>0.33800000000000002</v>
      </c>
      <c r="Z39" s="5">
        <v>0.22800000000000001</v>
      </c>
      <c r="AA39" s="17">
        <v>0.55000000000000004</v>
      </c>
      <c r="AB39" s="3">
        <v>0.25</v>
      </c>
      <c r="AC39" s="17">
        <v>0.61299999999999999</v>
      </c>
      <c r="AD39" s="28">
        <v>0.97699999999999998</v>
      </c>
      <c r="AE39" s="17">
        <v>0.54100000000000004</v>
      </c>
      <c r="AF39" s="8">
        <v>490</v>
      </c>
    </row>
    <row r="40" spans="1:32">
      <c r="C40" s="55"/>
      <c r="D40" s="10">
        <v>0.108</v>
      </c>
      <c r="E40" s="10">
        <v>0.127</v>
      </c>
      <c r="F40" s="10">
        <v>0.115</v>
      </c>
      <c r="G40" s="10">
        <v>0.114</v>
      </c>
      <c r="H40" s="10">
        <v>0.126</v>
      </c>
      <c r="I40" s="10">
        <v>0.104</v>
      </c>
      <c r="J40" s="11">
        <v>0.16</v>
      </c>
      <c r="K40" s="13">
        <v>0.32</v>
      </c>
      <c r="L40" s="11">
        <v>0.14899999999999999</v>
      </c>
      <c r="M40" s="23">
        <v>0.34399999999999997</v>
      </c>
      <c r="N40" s="26">
        <v>0.59599999999999997</v>
      </c>
      <c r="O40" s="23">
        <v>0.376</v>
      </c>
      <c r="P40" s="8">
        <v>750</v>
      </c>
      <c r="S40" s="55"/>
      <c r="T40" s="10">
        <v>0.109</v>
      </c>
      <c r="U40" s="11">
        <v>0.13</v>
      </c>
      <c r="V40" s="10">
        <v>0.11600000000000001</v>
      </c>
      <c r="W40" s="21">
        <v>0.38400000000000001</v>
      </c>
      <c r="X40" s="10">
        <v>0.124</v>
      </c>
      <c r="Y40" s="15">
        <v>0.16800000000000001</v>
      </c>
      <c r="Z40" s="11">
        <v>0.16</v>
      </c>
      <c r="AA40" s="23">
        <v>0.34300000000000003</v>
      </c>
      <c r="AB40" s="15">
        <v>0.16900000000000001</v>
      </c>
      <c r="AC40" s="21">
        <v>0.39200000000000002</v>
      </c>
      <c r="AD40" s="12">
        <v>0.61899999999999999</v>
      </c>
      <c r="AE40" s="21">
        <v>0.38100000000000001</v>
      </c>
      <c r="AF40" s="8">
        <v>750</v>
      </c>
    </row>
    <row r="41" spans="1:32">
      <c r="C41" s="54" t="s">
        <v>3</v>
      </c>
      <c r="D41" s="5">
        <v>0.157</v>
      </c>
      <c r="E41" s="17">
        <v>0.67400000000000004</v>
      </c>
      <c r="F41" s="17">
        <v>0.61099999999999999</v>
      </c>
      <c r="G41" s="5">
        <v>0.17399999999999999</v>
      </c>
      <c r="H41" s="5">
        <v>0.193</v>
      </c>
      <c r="I41" s="5">
        <v>0.221</v>
      </c>
      <c r="J41" s="3">
        <v>0.26100000000000001</v>
      </c>
      <c r="K41" s="4">
        <v>0.871</v>
      </c>
      <c r="L41" s="3">
        <v>0.26300000000000001</v>
      </c>
      <c r="M41" s="5">
        <v>0.23899999999999999</v>
      </c>
      <c r="N41" s="6">
        <v>0.75600000000000001</v>
      </c>
      <c r="O41" s="3">
        <v>0.35599999999999998</v>
      </c>
      <c r="P41" s="8">
        <v>490</v>
      </c>
      <c r="S41" s="54" t="s">
        <v>3</v>
      </c>
      <c r="T41" s="5">
        <v>0.16300000000000001</v>
      </c>
      <c r="U41" s="17">
        <v>0.59499999999999997</v>
      </c>
      <c r="V41" s="19">
        <v>0.52</v>
      </c>
      <c r="W41" s="5">
        <v>0.17699999999999999</v>
      </c>
      <c r="X41" s="5">
        <v>0.19400000000000001</v>
      </c>
      <c r="Y41" s="7">
        <v>0.34599999999999997</v>
      </c>
      <c r="Z41" s="3">
        <v>0.27400000000000002</v>
      </c>
      <c r="AA41" s="4">
        <v>0.753</v>
      </c>
      <c r="AB41" s="3">
        <v>0.26200000000000001</v>
      </c>
      <c r="AC41" s="3">
        <v>0.25900000000000001</v>
      </c>
      <c r="AD41" s="6">
        <v>0.7</v>
      </c>
      <c r="AE41" s="3">
        <v>0.32</v>
      </c>
      <c r="AF41" s="8">
        <v>490</v>
      </c>
    </row>
    <row r="42" spans="1:32">
      <c r="C42" s="55"/>
      <c r="D42" s="10">
        <v>0.11</v>
      </c>
      <c r="E42" s="21">
        <v>0.41399999999999998</v>
      </c>
      <c r="F42" s="21">
        <v>0.39300000000000002</v>
      </c>
      <c r="G42" s="10">
        <v>0.113</v>
      </c>
      <c r="H42" s="10">
        <v>0.126</v>
      </c>
      <c r="I42" s="11">
        <v>0.159</v>
      </c>
      <c r="J42" s="15">
        <v>0.183</v>
      </c>
      <c r="K42" s="13">
        <v>0.31</v>
      </c>
      <c r="L42" s="15">
        <v>0.183</v>
      </c>
      <c r="M42" s="15">
        <v>0.182</v>
      </c>
      <c r="N42" s="20">
        <v>0.47499999999999998</v>
      </c>
      <c r="O42" s="9">
        <v>0.23400000000000001</v>
      </c>
      <c r="P42" s="8">
        <v>750</v>
      </c>
      <c r="S42" s="55"/>
      <c r="T42" s="10">
        <v>0.115</v>
      </c>
      <c r="U42" s="21">
        <v>0.36099999999999999</v>
      </c>
      <c r="V42" s="23">
        <v>0.32800000000000001</v>
      </c>
      <c r="W42" s="10">
        <v>0.11600000000000001</v>
      </c>
      <c r="X42" s="10">
        <v>0.126</v>
      </c>
      <c r="Y42" s="15">
        <v>0.20200000000000001</v>
      </c>
      <c r="Z42" s="15">
        <v>0.19</v>
      </c>
      <c r="AA42" s="9">
        <v>0.22</v>
      </c>
      <c r="AB42" s="15">
        <v>0.184</v>
      </c>
      <c r="AC42" s="15">
        <v>0.19600000000000001</v>
      </c>
      <c r="AD42" s="31">
        <v>0.41</v>
      </c>
      <c r="AE42" s="9">
        <v>0.215</v>
      </c>
      <c r="AF42" s="8">
        <v>750</v>
      </c>
    </row>
    <row r="43" spans="1:32">
      <c r="C43" s="54" t="s">
        <v>4</v>
      </c>
      <c r="D43" s="5">
        <v>0.161</v>
      </c>
      <c r="E43" s="5">
        <v>0.17899999999999999</v>
      </c>
      <c r="F43" s="5">
        <v>0.16</v>
      </c>
      <c r="G43" s="4">
        <v>0.89600000000000002</v>
      </c>
      <c r="H43" s="5">
        <v>0.182</v>
      </c>
      <c r="I43" s="7">
        <v>0.378</v>
      </c>
      <c r="J43" s="30">
        <v>0.99199999999999999</v>
      </c>
      <c r="K43" s="19">
        <v>0.55100000000000005</v>
      </c>
      <c r="L43" s="30">
        <v>1.05</v>
      </c>
      <c r="M43" s="19">
        <v>0.51400000000000001</v>
      </c>
      <c r="N43" s="5">
        <v>0.23200000000000001</v>
      </c>
      <c r="O43" s="3">
        <v>0.26100000000000001</v>
      </c>
      <c r="P43" s="8">
        <v>490</v>
      </c>
      <c r="S43" s="54" t="s">
        <v>4</v>
      </c>
      <c r="T43" s="5">
        <v>0.217</v>
      </c>
      <c r="U43" s="5">
        <v>0.17499999999999999</v>
      </c>
      <c r="V43" s="5">
        <v>0.161</v>
      </c>
      <c r="W43" s="30">
        <v>0.89200000000000002</v>
      </c>
      <c r="X43" s="5">
        <v>0.183</v>
      </c>
      <c r="Y43" s="7">
        <v>0.36</v>
      </c>
      <c r="Z43" s="28">
        <v>0.99399999999999999</v>
      </c>
      <c r="AA43" s="17">
        <v>0.56399999999999995</v>
      </c>
      <c r="AB43" s="28">
        <v>1.008</v>
      </c>
      <c r="AC43" s="19">
        <v>0.51300000000000001</v>
      </c>
      <c r="AD43" s="3">
        <v>0.25</v>
      </c>
      <c r="AE43" s="3">
        <v>0.26200000000000001</v>
      </c>
      <c r="AF43" s="8">
        <v>490</v>
      </c>
    </row>
    <row r="44" spans="1:32">
      <c r="C44" s="55"/>
      <c r="D44" s="10">
        <v>0.113</v>
      </c>
      <c r="E44" s="10">
        <v>0.104</v>
      </c>
      <c r="F44" s="10">
        <v>0.113</v>
      </c>
      <c r="G44" s="13">
        <v>0.316</v>
      </c>
      <c r="H44" s="10">
        <v>0.13</v>
      </c>
      <c r="I44" s="9">
        <v>0.224</v>
      </c>
      <c r="J44" s="26">
        <v>0.59199999999999997</v>
      </c>
      <c r="K44" s="22">
        <v>0.26400000000000001</v>
      </c>
      <c r="L44" s="26">
        <v>0.61199999999999999</v>
      </c>
      <c r="M44" s="23">
        <v>0.34200000000000003</v>
      </c>
      <c r="N44" s="11">
        <v>0.16400000000000001</v>
      </c>
      <c r="O44" s="15">
        <v>0.18099999999999999</v>
      </c>
      <c r="P44" s="8">
        <v>750</v>
      </c>
      <c r="S44" s="55"/>
      <c r="T44" s="10">
        <v>0.126</v>
      </c>
      <c r="U44" s="10">
        <v>0.10199999999999999</v>
      </c>
      <c r="V44" s="10">
        <v>0.114</v>
      </c>
      <c r="W44" s="13">
        <v>0.30499999999999999</v>
      </c>
      <c r="X44" s="11">
        <v>0.13</v>
      </c>
      <c r="Y44" s="9">
        <v>0.214</v>
      </c>
      <c r="Z44" s="12">
        <v>0.59499999999999997</v>
      </c>
      <c r="AA44" s="22">
        <v>0.26300000000000001</v>
      </c>
      <c r="AB44" s="12">
        <v>0.59299999999999997</v>
      </c>
      <c r="AC44" s="23">
        <v>0.33400000000000002</v>
      </c>
      <c r="AD44" s="15">
        <v>0.16800000000000001</v>
      </c>
      <c r="AE44" s="15">
        <v>0.182</v>
      </c>
      <c r="AF44" s="8">
        <v>750</v>
      </c>
    </row>
    <row r="45" spans="1:32">
      <c r="C45" s="54" t="s">
        <v>5</v>
      </c>
      <c r="D45" s="24">
        <v>1.3180000000000001</v>
      </c>
      <c r="E45" s="5">
        <v>0.14899999999999999</v>
      </c>
      <c r="F45" s="5">
        <v>0.155</v>
      </c>
      <c r="G45" s="5">
        <v>0.20499999999999999</v>
      </c>
      <c r="H45" s="5">
        <v>0.21</v>
      </c>
      <c r="I45" s="5">
        <v>0.23599999999999999</v>
      </c>
      <c r="J45" s="5">
        <v>0.219</v>
      </c>
      <c r="K45" s="5">
        <v>0.23400000000000001</v>
      </c>
      <c r="L45" s="5">
        <v>0.20799999999999999</v>
      </c>
      <c r="M45" s="3">
        <v>0.252</v>
      </c>
      <c r="N45" s="6">
        <v>0.78200000000000003</v>
      </c>
      <c r="O45" s="3">
        <v>0.27900000000000003</v>
      </c>
      <c r="P45" s="8">
        <v>490</v>
      </c>
      <c r="S45" s="54" t="s">
        <v>5</v>
      </c>
      <c r="T45" s="28">
        <v>0.94</v>
      </c>
      <c r="U45" s="5">
        <v>0.155</v>
      </c>
      <c r="V45" s="5">
        <v>0.16</v>
      </c>
      <c r="W45" s="5">
        <v>0.17399999999999999</v>
      </c>
      <c r="X45" s="5">
        <v>0.20200000000000001</v>
      </c>
      <c r="Y45" s="3">
        <v>0.23599999999999999</v>
      </c>
      <c r="Z45" s="5">
        <v>0.23200000000000001</v>
      </c>
      <c r="AA45" s="3">
        <v>0.253</v>
      </c>
      <c r="AB45" s="3">
        <v>0.29799999999999999</v>
      </c>
      <c r="AC45" s="3">
        <v>0.24199999999999999</v>
      </c>
      <c r="AD45" s="6">
        <v>0.67600000000000005</v>
      </c>
      <c r="AE45" s="3">
        <v>0.246</v>
      </c>
      <c r="AF45" s="8">
        <v>490</v>
      </c>
    </row>
    <row r="46" spans="1:32">
      <c r="C46" s="55"/>
      <c r="D46" s="31">
        <v>0.42799999999999999</v>
      </c>
      <c r="E46" s="10">
        <v>0.106</v>
      </c>
      <c r="F46" s="10">
        <v>0.109</v>
      </c>
      <c r="G46" s="11">
        <v>0.13600000000000001</v>
      </c>
      <c r="H46" s="11">
        <v>0.14199999999999999</v>
      </c>
      <c r="I46" s="11">
        <v>0.16200000000000001</v>
      </c>
      <c r="J46" s="11">
        <v>0.156</v>
      </c>
      <c r="K46" s="11">
        <v>0.16600000000000001</v>
      </c>
      <c r="L46" s="11">
        <v>0.14899999999999999</v>
      </c>
      <c r="M46" s="11">
        <v>0.17399999999999999</v>
      </c>
      <c r="N46" s="20">
        <v>0.47299999999999998</v>
      </c>
      <c r="O46" s="15">
        <v>0.182</v>
      </c>
      <c r="P46" s="8">
        <v>750</v>
      </c>
      <c r="S46" s="55"/>
      <c r="T46" s="22">
        <v>0.27</v>
      </c>
      <c r="U46" s="10">
        <v>0.111</v>
      </c>
      <c r="V46" s="10">
        <v>0.113</v>
      </c>
      <c r="W46" s="10">
        <v>0.127</v>
      </c>
      <c r="X46" s="11">
        <v>0.14499999999999999</v>
      </c>
      <c r="Y46" s="11">
        <v>0.16300000000000001</v>
      </c>
      <c r="Z46" s="11">
        <v>0.16400000000000001</v>
      </c>
      <c r="AA46" s="15">
        <v>0.17799999999999999</v>
      </c>
      <c r="AB46" s="15">
        <v>0.19900000000000001</v>
      </c>
      <c r="AC46" s="15">
        <v>0.17</v>
      </c>
      <c r="AD46" s="21">
        <v>0.38700000000000001</v>
      </c>
      <c r="AE46" s="15">
        <v>0.17100000000000001</v>
      </c>
      <c r="AF46" s="8">
        <v>750</v>
      </c>
    </row>
    <row r="47" spans="1:32">
      <c r="C47" s="54" t="s">
        <v>6</v>
      </c>
      <c r="D47" s="16">
        <v>1.742</v>
      </c>
      <c r="E47" s="5">
        <v>0.14699999999999999</v>
      </c>
      <c r="F47" s="5">
        <v>0.154</v>
      </c>
      <c r="G47" s="5">
        <v>0.19500000000000001</v>
      </c>
      <c r="H47" s="5">
        <v>0.17899999999999999</v>
      </c>
      <c r="I47" s="5">
        <v>0.189</v>
      </c>
      <c r="J47" s="5">
        <v>0.188</v>
      </c>
      <c r="K47" s="5">
        <v>0.20599999999999999</v>
      </c>
      <c r="L47" s="19">
        <v>0.51400000000000001</v>
      </c>
      <c r="M47" s="3">
        <v>0.26200000000000001</v>
      </c>
      <c r="N47" s="5">
        <v>0.21</v>
      </c>
      <c r="O47" s="5">
        <v>0.221</v>
      </c>
      <c r="P47" s="8">
        <v>490</v>
      </c>
      <c r="S47" s="54" t="s">
        <v>6</v>
      </c>
      <c r="T47" s="16">
        <v>1.5189999999999999</v>
      </c>
      <c r="U47" s="5">
        <v>0.14899999999999999</v>
      </c>
      <c r="V47" s="5">
        <v>0.19800000000000001</v>
      </c>
      <c r="W47" s="5">
        <v>0.20499999999999999</v>
      </c>
      <c r="X47" s="5">
        <v>0.17699999999999999</v>
      </c>
      <c r="Y47" s="5">
        <v>0.19700000000000001</v>
      </c>
      <c r="Z47" s="5">
        <v>0.21099999999999999</v>
      </c>
      <c r="AA47" s="5">
        <v>0.216</v>
      </c>
      <c r="AB47" s="19">
        <v>0.47299999999999998</v>
      </c>
      <c r="AC47" s="3">
        <v>0.313</v>
      </c>
      <c r="AD47" s="5">
        <v>0.214</v>
      </c>
      <c r="AE47" s="5">
        <v>0.224</v>
      </c>
      <c r="AF47" s="8">
        <v>490</v>
      </c>
    </row>
    <row r="48" spans="1:32">
      <c r="C48" s="55"/>
      <c r="D48" s="12">
        <v>0.67</v>
      </c>
      <c r="E48" s="10">
        <v>0.107</v>
      </c>
      <c r="F48" s="10">
        <v>0.111</v>
      </c>
      <c r="G48" s="10">
        <v>0.11700000000000001</v>
      </c>
      <c r="H48" s="10">
        <v>0.126</v>
      </c>
      <c r="I48" s="11">
        <v>0.13500000000000001</v>
      </c>
      <c r="J48" s="11">
        <v>0.13400000000000001</v>
      </c>
      <c r="K48" s="11">
        <v>0.15</v>
      </c>
      <c r="L48" s="13">
        <v>0.30599999999999999</v>
      </c>
      <c r="M48" s="15">
        <v>0.18099999999999999</v>
      </c>
      <c r="N48" s="11">
        <v>0.153</v>
      </c>
      <c r="O48" s="11">
        <v>0.155</v>
      </c>
      <c r="P48" s="8">
        <v>750</v>
      </c>
      <c r="S48" s="55"/>
      <c r="T48" s="26">
        <v>0.57699999999999996</v>
      </c>
      <c r="U48" s="10">
        <v>0.109</v>
      </c>
      <c r="V48" s="11">
        <v>0.13100000000000001</v>
      </c>
      <c r="W48" s="10">
        <v>0.124</v>
      </c>
      <c r="X48" s="10">
        <v>0.126</v>
      </c>
      <c r="Y48" s="11">
        <v>0.14099999999999999</v>
      </c>
      <c r="Z48" s="11">
        <v>0.15</v>
      </c>
      <c r="AA48" s="11">
        <v>0.156</v>
      </c>
      <c r="AB48" s="22">
        <v>0.26600000000000001</v>
      </c>
      <c r="AC48" s="9">
        <v>0.21</v>
      </c>
      <c r="AD48" s="11">
        <v>0.157</v>
      </c>
      <c r="AE48" s="11">
        <v>0.158</v>
      </c>
      <c r="AF48" s="8">
        <v>750</v>
      </c>
    </row>
    <row r="49" spans="1:32">
      <c r="C49" s="54" t="s">
        <v>7</v>
      </c>
      <c r="D49" s="5">
        <v>0.14799999999999999</v>
      </c>
      <c r="E49" s="5">
        <v>0.14099999999999999</v>
      </c>
      <c r="F49" s="5">
        <v>0.151</v>
      </c>
      <c r="G49" s="5">
        <v>0.155</v>
      </c>
      <c r="H49" s="5">
        <v>0.159</v>
      </c>
      <c r="I49" s="19">
        <v>0.53200000000000003</v>
      </c>
      <c r="J49" s="5">
        <v>0.23</v>
      </c>
      <c r="K49" s="5">
        <v>0.189</v>
      </c>
      <c r="L49" s="5">
        <v>0.16600000000000001</v>
      </c>
      <c r="M49" s="5">
        <v>0.16600000000000001</v>
      </c>
      <c r="N49" s="5">
        <v>0.185</v>
      </c>
      <c r="O49" s="3">
        <v>0.31900000000000001</v>
      </c>
      <c r="P49" s="8">
        <v>490</v>
      </c>
      <c r="S49" s="54" t="s">
        <v>7</v>
      </c>
      <c r="T49" s="5">
        <v>0.14599999999999999</v>
      </c>
      <c r="U49" s="5">
        <v>0.14699999999999999</v>
      </c>
      <c r="V49" s="5">
        <v>0.156</v>
      </c>
      <c r="W49" s="5">
        <v>0.156</v>
      </c>
      <c r="X49" s="5">
        <v>0.16</v>
      </c>
      <c r="Y49" s="5">
        <v>0.17399999999999999</v>
      </c>
      <c r="Z49" s="5">
        <v>0.17</v>
      </c>
      <c r="AA49" s="5">
        <v>0.19700000000000001</v>
      </c>
      <c r="AB49" s="5">
        <v>0.17599999999999999</v>
      </c>
      <c r="AC49" s="5">
        <v>0.18</v>
      </c>
      <c r="AD49" s="5">
        <v>0.19</v>
      </c>
      <c r="AE49" s="3">
        <v>0.32400000000000001</v>
      </c>
      <c r="AF49" s="8">
        <v>490</v>
      </c>
    </row>
    <row r="50" spans="1:32">
      <c r="C50" s="55"/>
      <c r="D50" s="10">
        <v>0.105</v>
      </c>
      <c r="E50" s="10">
        <v>0.10299999999999999</v>
      </c>
      <c r="F50" s="10">
        <v>0.11</v>
      </c>
      <c r="G50" s="10">
        <v>0.111</v>
      </c>
      <c r="H50" s="10">
        <v>0.115</v>
      </c>
      <c r="I50" s="9">
        <v>0.24299999999999999</v>
      </c>
      <c r="J50" s="10">
        <v>0.129</v>
      </c>
      <c r="K50" s="10">
        <v>0.13300000000000001</v>
      </c>
      <c r="L50" s="10">
        <v>0.11600000000000001</v>
      </c>
      <c r="M50" s="10">
        <v>0.11</v>
      </c>
      <c r="N50" s="10">
        <v>0.13300000000000001</v>
      </c>
      <c r="O50" s="9">
        <v>0.22600000000000001</v>
      </c>
      <c r="P50" s="8">
        <v>750</v>
      </c>
      <c r="S50" s="55"/>
      <c r="T50" s="10">
        <v>0.104</v>
      </c>
      <c r="U50" s="10">
        <v>0.109</v>
      </c>
      <c r="V50" s="10">
        <v>0.115</v>
      </c>
      <c r="W50" s="10">
        <v>0.112</v>
      </c>
      <c r="X50" s="10">
        <v>0.11600000000000001</v>
      </c>
      <c r="Y50" s="10">
        <v>0.124</v>
      </c>
      <c r="Z50" s="10">
        <v>0.121</v>
      </c>
      <c r="AA50" s="11">
        <v>0.13900000000000001</v>
      </c>
      <c r="AB50" s="10">
        <v>0.125</v>
      </c>
      <c r="AC50" s="10">
        <v>0.122</v>
      </c>
      <c r="AD50" s="11">
        <v>0.13700000000000001</v>
      </c>
      <c r="AE50" s="9">
        <v>0.22900000000000001</v>
      </c>
      <c r="AF50" s="8">
        <v>750</v>
      </c>
    </row>
    <row r="51" spans="1:32">
      <c r="C51" s="54" t="s">
        <v>8</v>
      </c>
      <c r="D51" s="5">
        <v>0.151</v>
      </c>
      <c r="E51" s="5">
        <v>0.13900000000000001</v>
      </c>
      <c r="F51" s="5">
        <v>0.13200000000000001</v>
      </c>
      <c r="G51" s="5">
        <v>0.153</v>
      </c>
      <c r="H51" s="19">
        <v>0.57399999999999995</v>
      </c>
      <c r="I51" s="5">
        <v>0.16200000000000001</v>
      </c>
      <c r="J51" s="5">
        <v>0.17799999999999999</v>
      </c>
      <c r="K51" s="5">
        <v>0.19700000000000001</v>
      </c>
      <c r="L51" s="5">
        <v>0.17199999999999999</v>
      </c>
      <c r="M51" s="5">
        <v>0.18099999999999999</v>
      </c>
      <c r="N51" s="5">
        <v>0.157</v>
      </c>
      <c r="O51" s="14">
        <v>1.206</v>
      </c>
      <c r="P51" s="8">
        <v>490</v>
      </c>
      <c r="S51" s="54" t="s">
        <v>8</v>
      </c>
      <c r="T51" s="19">
        <v>0.499</v>
      </c>
      <c r="U51" s="5">
        <v>0.14000000000000001</v>
      </c>
      <c r="V51" s="5">
        <v>0.13400000000000001</v>
      </c>
      <c r="W51" s="5">
        <v>0.155</v>
      </c>
      <c r="X51" s="5">
        <v>0.18</v>
      </c>
      <c r="Y51" s="5">
        <v>0.16500000000000001</v>
      </c>
      <c r="Z51" s="5">
        <v>0.17199999999999999</v>
      </c>
      <c r="AA51" s="5">
        <v>0.16500000000000001</v>
      </c>
      <c r="AB51" s="5">
        <v>0.17799999999999999</v>
      </c>
      <c r="AC51" s="5">
        <v>0.23100000000000001</v>
      </c>
      <c r="AD51" s="5">
        <v>0.16</v>
      </c>
      <c r="AE51" s="5">
        <v>0.16500000000000001</v>
      </c>
      <c r="AF51" s="8">
        <v>490</v>
      </c>
    </row>
    <row r="52" spans="1:32">
      <c r="C52" s="55"/>
      <c r="D52" s="10">
        <v>0.106</v>
      </c>
      <c r="E52" s="10">
        <v>0.10199999999999999</v>
      </c>
      <c r="F52" s="10">
        <v>9.4E-2</v>
      </c>
      <c r="G52" s="10">
        <v>0.109</v>
      </c>
      <c r="H52" s="9">
        <v>0.23899999999999999</v>
      </c>
      <c r="I52" s="10">
        <v>0.11600000000000001</v>
      </c>
      <c r="J52" s="10">
        <v>0.121</v>
      </c>
      <c r="K52" s="10">
        <v>0.13</v>
      </c>
      <c r="L52" s="10">
        <v>0.125</v>
      </c>
      <c r="M52" s="10">
        <v>0.13300000000000001</v>
      </c>
      <c r="N52" s="10">
        <v>0.113</v>
      </c>
      <c r="O52" s="23">
        <v>0.35</v>
      </c>
      <c r="P52" s="8">
        <v>750</v>
      </c>
      <c r="S52" s="55"/>
      <c r="T52" s="9">
        <v>0.20399999999999999</v>
      </c>
      <c r="U52" s="10">
        <v>0.10299999999999999</v>
      </c>
      <c r="V52" s="10">
        <v>9.6000000000000002E-2</v>
      </c>
      <c r="W52" s="10">
        <v>0.111</v>
      </c>
      <c r="X52" s="11">
        <v>0.13500000000000001</v>
      </c>
      <c r="Y52" s="10">
        <v>0.11899999999999999</v>
      </c>
      <c r="Z52" s="10">
        <v>0.11899999999999999</v>
      </c>
      <c r="AA52" s="10">
        <v>0.11799999999999999</v>
      </c>
      <c r="AB52" s="11">
        <v>0.13100000000000001</v>
      </c>
      <c r="AC52" s="11">
        <v>0.16400000000000001</v>
      </c>
      <c r="AD52" s="10">
        <v>0.11600000000000001</v>
      </c>
      <c r="AE52" s="10">
        <v>0.11600000000000001</v>
      </c>
      <c r="AF52" s="8">
        <v>750</v>
      </c>
    </row>
    <row r="53" spans="1:32">
      <c r="C53" s="54" t="s">
        <v>9</v>
      </c>
      <c r="D53" s="5">
        <v>0.23899999999999999</v>
      </c>
      <c r="E53" s="5">
        <v>0.14599999999999999</v>
      </c>
      <c r="F53" s="5">
        <v>0.158</v>
      </c>
      <c r="G53" s="5">
        <v>0.155</v>
      </c>
      <c r="H53" s="3">
        <v>0.28799999999999998</v>
      </c>
      <c r="I53" s="19">
        <v>0.57699999999999996</v>
      </c>
      <c r="J53" s="5">
        <v>0.19500000000000001</v>
      </c>
      <c r="K53" s="3">
        <v>0.31900000000000001</v>
      </c>
      <c r="L53" s="6">
        <v>0.72499999999999998</v>
      </c>
      <c r="M53" s="5">
        <v>0.16300000000000001</v>
      </c>
      <c r="N53" s="5">
        <v>0.192</v>
      </c>
      <c r="O53" s="5">
        <v>0.158</v>
      </c>
      <c r="P53" s="8">
        <v>490</v>
      </c>
      <c r="S53" s="54" t="s">
        <v>9</v>
      </c>
      <c r="T53" s="5">
        <v>0.14799999999999999</v>
      </c>
      <c r="U53" s="5">
        <v>0.14599999999999999</v>
      </c>
      <c r="V53" s="5">
        <v>0.18099999999999999</v>
      </c>
      <c r="W53" s="5">
        <v>0.159</v>
      </c>
      <c r="X53" s="3">
        <v>0.29599999999999999</v>
      </c>
      <c r="Y53" s="17">
        <v>0.57899999999999996</v>
      </c>
      <c r="Z53" s="5">
        <v>0.19</v>
      </c>
      <c r="AA53" s="5">
        <v>0.18099999999999999</v>
      </c>
      <c r="AB53" s="5">
        <v>0.17399999999999999</v>
      </c>
      <c r="AC53" s="4">
        <v>0.754</v>
      </c>
      <c r="AD53" s="5">
        <v>0.184</v>
      </c>
      <c r="AE53" s="5">
        <v>0.155</v>
      </c>
      <c r="AF53" s="8">
        <v>490</v>
      </c>
    </row>
    <row r="54" spans="1:32">
      <c r="C54" s="55"/>
      <c r="D54" s="11">
        <v>0.14099999999999999</v>
      </c>
      <c r="E54" s="10">
        <v>0.105</v>
      </c>
      <c r="F54" s="10">
        <v>0.11</v>
      </c>
      <c r="G54" s="10">
        <v>0.107</v>
      </c>
      <c r="H54" s="11">
        <v>0.16600000000000001</v>
      </c>
      <c r="I54" s="10">
        <v>0.125</v>
      </c>
      <c r="J54" s="10">
        <v>9.1999999999999998E-2</v>
      </c>
      <c r="K54" s="11">
        <v>0.159</v>
      </c>
      <c r="L54" s="9">
        <v>0.248</v>
      </c>
      <c r="M54" s="10">
        <v>0.106</v>
      </c>
      <c r="N54" s="10">
        <v>0.122</v>
      </c>
      <c r="O54" s="10">
        <v>0.11</v>
      </c>
      <c r="P54" s="8">
        <v>750</v>
      </c>
      <c r="S54" s="55"/>
      <c r="T54" s="10">
        <v>0.105</v>
      </c>
      <c r="U54" s="10">
        <v>0.104</v>
      </c>
      <c r="V54" s="10">
        <v>0.11799999999999999</v>
      </c>
      <c r="W54" s="10">
        <v>0.105</v>
      </c>
      <c r="X54" s="15">
        <v>0.17</v>
      </c>
      <c r="Y54" s="11">
        <v>0.128</v>
      </c>
      <c r="Z54" s="10">
        <v>8.8999999999999996E-2</v>
      </c>
      <c r="AA54" s="10">
        <v>0.11899999999999999</v>
      </c>
      <c r="AB54" s="10">
        <v>0.113</v>
      </c>
      <c r="AC54" s="13">
        <v>0.29599999999999999</v>
      </c>
      <c r="AD54" s="10">
        <v>0.122</v>
      </c>
      <c r="AE54" s="10">
        <v>0.107</v>
      </c>
      <c r="AF54" s="8">
        <v>750</v>
      </c>
    </row>
    <row r="56" spans="1:32">
      <c r="A56" t="s">
        <v>13</v>
      </c>
      <c r="B56">
        <v>51</v>
      </c>
      <c r="C56" s="1"/>
      <c r="D56" s="2">
        <v>1</v>
      </c>
      <c r="E56" s="2">
        <v>2</v>
      </c>
      <c r="F56" s="2">
        <v>3</v>
      </c>
      <c r="G56" s="2">
        <v>4</v>
      </c>
      <c r="H56" s="2">
        <v>5</v>
      </c>
      <c r="I56" s="2">
        <v>6</v>
      </c>
      <c r="J56" s="2">
        <v>7</v>
      </c>
      <c r="K56" s="2">
        <v>8</v>
      </c>
      <c r="L56" s="2">
        <v>9</v>
      </c>
      <c r="M56" s="2">
        <v>10</v>
      </c>
      <c r="N56" s="2">
        <v>11</v>
      </c>
      <c r="O56" s="2">
        <v>12</v>
      </c>
      <c r="Q56" t="s">
        <v>14</v>
      </c>
      <c r="R56" s="27">
        <v>51</v>
      </c>
      <c r="S56" s="1"/>
      <c r="T56" s="2">
        <v>1</v>
      </c>
      <c r="U56" s="2">
        <v>2</v>
      </c>
      <c r="V56" s="2">
        <v>3</v>
      </c>
      <c r="W56" s="2">
        <v>4</v>
      </c>
      <c r="X56" s="2">
        <v>5</v>
      </c>
      <c r="Y56" s="2">
        <v>6</v>
      </c>
      <c r="Z56" s="2">
        <v>7</v>
      </c>
      <c r="AA56" s="2">
        <v>8</v>
      </c>
      <c r="AB56" s="2">
        <v>9</v>
      </c>
      <c r="AC56" s="2">
        <v>10</v>
      </c>
      <c r="AD56" s="2">
        <v>11</v>
      </c>
      <c r="AE56" s="2">
        <v>12</v>
      </c>
    </row>
    <row r="57" spans="1:32">
      <c r="C57" s="54" t="s">
        <v>2</v>
      </c>
      <c r="D57" s="5">
        <v>0.152</v>
      </c>
      <c r="E57" s="7">
        <v>0.40100000000000002</v>
      </c>
      <c r="F57" s="5">
        <v>0.159</v>
      </c>
      <c r="G57" s="5">
        <v>0.16</v>
      </c>
      <c r="H57" s="5">
        <v>0.17399999999999999</v>
      </c>
      <c r="I57" s="5">
        <v>0.16600000000000001</v>
      </c>
      <c r="J57" s="5">
        <v>0.221</v>
      </c>
      <c r="K57" s="19">
        <v>0.53300000000000003</v>
      </c>
      <c r="L57" s="5">
        <v>0.20899999999999999</v>
      </c>
      <c r="M57" s="19">
        <v>0.54400000000000004</v>
      </c>
      <c r="N57" s="30">
        <v>0.97099999999999997</v>
      </c>
      <c r="O57" s="19">
        <v>0.56599999999999995</v>
      </c>
      <c r="P57" s="8">
        <v>490</v>
      </c>
      <c r="S57" s="54" t="s">
        <v>2</v>
      </c>
      <c r="T57" s="5">
        <v>0.153</v>
      </c>
      <c r="U57" s="7">
        <v>0.442</v>
      </c>
      <c r="V57" s="5">
        <v>0.161</v>
      </c>
      <c r="W57" s="29">
        <v>1.2909999999999999</v>
      </c>
      <c r="X57" s="5">
        <v>0.16900000000000001</v>
      </c>
      <c r="Y57" s="17">
        <v>0.60499999999999998</v>
      </c>
      <c r="Z57" s="5">
        <v>0.22500000000000001</v>
      </c>
      <c r="AA57" s="17">
        <v>0.56999999999999995</v>
      </c>
      <c r="AB57" s="3">
        <v>0.246</v>
      </c>
      <c r="AC57" s="17">
        <v>0.626</v>
      </c>
      <c r="AD57" s="28">
        <v>0.97399999999999998</v>
      </c>
      <c r="AE57" s="17">
        <v>0.56899999999999995</v>
      </c>
      <c r="AF57" s="8">
        <v>490</v>
      </c>
    </row>
    <row r="58" spans="1:32">
      <c r="C58" s="55"/>
      <c r="D58" s="10">
        <v>0.106</v>
      </c>
      <c r="E58" s="10">
        <v>0.126</v>
      </c>
      <c r="F58" s="10">
        <v>0.113</v>
      </c>
      <c r="G58" s="10">
        <v>0.112</v>
      </c>
      <c r="H58" s="10">
        <v>0.125</v>
      </c>
      <c r="I58" s="10">
        <v>0.10299999999999999</v>
      </c>
      <c r="J58" s="11">
        <v>0.157</v>
      </c>
      <c r="K58" s="13">
        <v>0.33900000000000002</v>
      </c>
      <c r="L58" s="11">
        <v>0.14599999999999999</v>
      </c>
      <c r="M58" s="23">
        <v>0.36599999999999999</v>
      </c>
      <c r="N58" s="26">
        <v>0.59499999999999997</v>
      </c>
      <c r="O58" s="21">
        <v>0.39600000000000002</v>
      </c>
      <c r="P58" s="8">
        <v>750</v>
      </c>
      <c r="S58" s="55"/>
      <c r="T58" s="10">
        <v>0.107</v>
      </c>
      <c r="U58" s="11">
        <v>0.129</v>
      </c>
      <c r="V58" s="10">
        <v>0.115</v>
      </c>
      <c r="W58" s="31">
        <v>0.40899999999999997</v>
      </c>
      <c r="X58" s="10">
        <v>0.122</v>
      </c>
      <c r="Y58" s="22">
        <v>0.25700000000000001</v>
      </c>
      <c r="Z58" s="11">
        <v>0.157</v>
      </c>
      <c r="AA58" s="21">
        <v>0.36399999999999999</v>
      </c>
      <c r="AB58" s="15">
        <v>0.16700000000000001</v>
      </c>
      <c r="AC58" s="31">
        <v>0.4</v>
      </c>
      <c r="AD58" s="12">
        <v>0.61799999999999999</v>
      </c>
      <c r="AE58" s="31">
        <v>0.40300000000000002</v>
      </c>
      <c r="AF58" s="8">
        <v>750</v>
      </c>
    </row>
    <row r="59" spans="1:32">
      <c r="C59" s="54" t="s">
        <v>3</v>
      </c>
      <c r="D59" s="5">
        <v>0.156</v>
      </c>
      <c r="E59" s="17">
        <v>0.70299999999999996</v>
      </c>
      <c r="F59" s="17">
        <v>0.66100000000000003</v>
      </c>
      <c r="G59" s="5">
        <v>0.17399999999999999</v>
      </c>
      <c r="H59" s="5">
        <v>0.192</v>
      </c>
      <c r="I59" s="5">
        <v>0.217</v>
      </c>
      <c r="J59" s="3">
        <v>0.25900000000000001</v>
      </c>
      <c r="K59" s="30">
        <v>1.0109999999999999</v>
      </c>
      <c r="L59" s="3">
        <v>0.26300000000000001</v>
      </c>
      <c r="M59" s="5">
        <v>0.24099999999999999</v>
      </c>
      <c r="N59" s="6">
        <v>0.81</v>
      </c>
      <c r="O59" s="3">
        <v>0.36199999999999999</v>
      </c>
      <c r="P59" s="8">
        <v>490</v>
      </c>
      <c r="S59" s="54" t="s">
        <v>3</v>
      </c>
      <c r="T59" s="5">
        <v>0.161</v>
      </c>
      <c r="U59" s="17">
        <v>0.629</v>
      </c>
      <c r="V59" s="19">
        <v>0.54300000000000004</v>
      </c>
      <c r="W59" s="5">
        <v>0.17899999999999999</v>
      </c>
      <c r="X59" s="5">
        <v>0.193</v>
      </c>
      <c r="Y59" s="7">
        <v>0.42899999999999999</v>
      </c>
      <c r="Z59" s="3">
        <v>0.27100000000000002</v>
      </c>
      <c r="AA59" s="4">
        <v>0.78600000000000003</v>
      </c>
      <c r="AB59" s="3">
        <v>0.26100000000000001</v>
      </c>
      <c r="AC59" s="3">
        <v>0.25600000000000001</v>
      </c>
      <c r="AD59" s="6">
        <v>0.72799999999999998</v>
      </c>
      <c r="AE59" s="3">
        <v>0.32</v>
      </c>
      <c r="AF59" s="8">
        <v>490</v>
      </c>
    </row>
    <row r="60" spans="1:32">
      <c r="C60" s="55"/>
      <c r="D60" s="10">
        <v>0.109</v>
      </c>
      <c r="E60" s="31">
        <v>0.433</v>
      </c>
      <c r="F60" s="21">
        <v>0.42299999999999999</v>
      </c>
      <c r="G60" s="10">
        <v>0.112</v>
      </c>
      <c r="H60" s="10">
        <v>0.125</v>
      </c>
      <c r="I60" s="11">
        <v>0.155</v>
      </c>
      <c r="J60" s="15">
        <v>0.182</v>
      </c>
      <c r="K60" s="23">
        <v>0.37</v>
      </c>
      <c r="L60" s="15">
        <v>0.18099999999999999</v>
      </c>
      <c r="M60" s="15">
        <v>0.18</v>
      </c>
      <c r="N60" s="20">
        <v>0.503</v>
      </c>
      <c r="O60" s="9">
        <v>0.23599999999999999</v>
      </c>
      <c r="P60" s="8">
        <v>750</v>
      </c>
      <c r="S60" s="55"/>
      <c r="T60" s="10">
        <v>0.113</v>
      </c>
      <c r="U60" s="21">
        <v>0.38400000000000001</v>
      </c>
      <c r="V60" s="23">
        <v>0.33600000000000002</v>
      </c>
      <c r="W60" s="10">
        <v>0.11799999999999999</v>
      </c>
      <c r="X60" s="10">
        <v>0.125</v>
      </c>
      <c r="Y60" s="9">
        <v>0.218</v>
      </c>
      <c r="Z60" s="15">
        <v>0.187</v>
      </c>
      <c r="AA60" s="9">
        <v>0.23</v>
      </c>
      <c r="AB60" s="15">
        <v>0.18099999999999999</v>
      </c>
      <c r="AC60" s="15">
        <v>0.193</v>
      </c>
      <c r="AD60" s="31">
        <v>0.433</v>
      </c>
      <c r="AE60" s="9">
        <v>0.21299999999999999</v>
      </c>
      <c r="AF60" s="8">
        <v>750</v>
      </c>
    </row>
    <row r="61" spans="1:32">
      <c r="C61" s="54" t="s">
        <v>4</v>
      </c>
      <c r="D61" s="5">
        <v>0.159</v>
      </c>
      <c r="E61" s="5">
        <v>0.17899999999999999</v>
      </c>
      <c r="F61" s="5">
        <v>0.159</v>
      </c>
      <c r="G61" s="4">
        <v>0.90800000000000003</v>
      </c>
      <c r="H61" s="5">
        <v>0.18099999999999999</v>
      </c>
      <c r="I61" s="7">
        <v>0.38200000000000001</v>
      </c>
      <c r="J61" s="30">
        <v>0.997</v>
      </c>
      <c r="K61" s="17">
        <v>0.625</v>
      </c>
      <c r="L61" s="30">
        <v>1.0489999999999999</v>
      </c>
      <c r="M61" s="19">
        <v>0.55500000000000005</v>
      </c>
      <c r="N61" s="5">
        <v>0.22500000000000001</v>
      </c>
      <c r="O61" s="3">
        <v>0.25600000000000001</v>
      </c>
      <c r="P61" s="8">
        <v>490</v>
      </c>
      <c r="S61" s="54" t="s">
        <v>4</v>
      </c>
      <c r="T61" s="3">
        <v>0.28599999999999998</v>
      </c>
      <c r="U61" s="5">
        <v>0.17499999999999999</v>
      </c>
      <c r="V61" s="5">
        <v>0.159</v>
      </c>
      <c r="W61" s="30">
        <v>0.89900000000000002</v>
      </c>
      <c r="X61" s="5">
        <v>0.18099999999999999</v>
      </c>
      <c r="Y61" s="7">
        <v>0.36299999999999999</v>
      </c>
      <c r="Z61" s="28">
        <v>1.0049999999999999</v>
      </c>
      <c r="AA61" s="17">
        <v>0.59</v>
      </c>
      <c r="AB61" s="28">
        <v>1.0109999999999999</v>
      </c>
      <c r="AC61" s="19">
        <v>0.54400000000000004</v>
      </c>
      <c r="AD61" s="3">
        <v>0.24199999999999999</v>
      </c>
      <c r="AE61" s="3">
        <v>0.25800000000000001</v>
      </c>
      <c r="AF61" s="8">
        <v>490</v>
      </c>
    </row>
    <row r="62" spans="1:32">
      <c r="C62" s="55"/>
      <c r="D62" s="10">
        <v>0.11</v>
      </c>
      <c r="E62" s="10">
        <v>0.104</v>
      </c>
      <c r="F62" s="10">
        <v>0.112</v>
      </c>
      <c r="G62" s="13">
        <v>0.32</v>
      </c>
      <c r="H62" s="10">
        <v>0.129</v>
      </c>
      <c r="I62" s="9">
        <v>0.22500000000000001</v>
      </c>
      <c r="J62" s="26">
        <v>0.59499999999999997</v>
      </c>
      <c r="K62" s="22">
        <v>0.28999999999999998</v>
      </c>
      <c r="L62" s="26">
        <v>0.60899999999999999</v>
      </c>
      <c r="M62" s="23">
        <v>0.36199999999999999</v>
      </c>
      <c r="N62" s="11">
        <v>0.156</v>
      </c>
      <c r="O62" s="15">
        <v>0.17799999999999999</v>
      </c>
      <c r="P62" s="8">
        <v>750</v>
      </c>
      <c r="S62" s="55"/>
      <c r="T62" s="11">
        <v>0.14799999999999999</v>
      </c>
      <c r="U62" s="10">
        <v>0.10100000000000001</v>
      </c>
      <c r="V62" s="10">
        <v>0.113</v>
      </c>
      <c r="W62" s="13">
        <v>0.30399999999999999</v>
      </c>
      <c r="X62" s="11">
        <v>0.129</v>
      </c>
      <c r="Y62" s="9">
        <v>0.214</v>
      </c>
      <c r="Z62" s="12">
        <v>0.6</v>
      </c>
      <c r="AA62" s="22">
        <v>0.254</v>
      </c>
      <c r="AB62" s="26">
        <v>0.59099999999999997</v>
      </c>
      <c r="AC62" s="23">
        <v>0.35399999999999998</v>
      </c>
      <c r="AD62" s="11">
        <v>0.16400000000000001</v>
      </c>
      <c r="AE62" s="15">
        <v>0.17899999999999999</v>
      </c>
      <c r="AF62" s="8">
        <v>750</v>
      </c>
    </row>
    <row r="63" spans="1:32">
      <c r="C63" s="54" t="s">
        <v>5</v>
      </c>
      <c r="D63" s="14">
        <v>1.2509999999999999</v>
      </c>
      <c r="E63" s="5">
        <v>0.14799999999999999</v>
      </c>
      <c r="F63" s="5">
        <v>0.154</v>
      </c>
      <c r="G63" s="5">
        <v>0.223</v>
      </c>
      <c r="H63" s="5">
        <v>0.23699999999999999</v>
      </c>
      <c r="I63" s="5">
        <v>0.23499999999999999</v>
      </c>
      <c r="J63" s="5">
        <v>0.217</v>
      </c>
      <c r="K63" s="5">
        <v>0.23499999999999999</v>
      </c>
      <c r="L63" s="5">
        <v>0.20699999999999999</v>
      </c>
      <c r="M63" s="3">
        <v>0.254</v>
      </c>
      <c r="N63" s="6">
        <v>0.80700000000000005</v>
      </c>
      <c r="O63" s="3">
        <v>0.29799999999999999</v>
      </c>
      <c r="P63" s="8">
        <v>490</v>
      </c>
      <c r="S63" s="54" t="s">
        <v>5</v>
      </c>
      <c r="T63" s="25">
        <v>1.4</v>
      </c>
      <c r="U63" s="5">
        <v>0.153</v>
      </c>
      <c r="V63" s="5">
        <v>0.158</v>
      </c>
      <c r="W63" s="5">
        <v>0.17199999999999999</v>
      </c>
      <c r="X63" s="5">
        <v>0.20200000000000001</v>
      </c>
      <c r="Y63" s="5">
        <v>0.23499999999999999</v>
      </c>
      <c r="Z63" s="5">
        <v>0.23</v>
      </c>
      <c r="AA63" s="3">
        <v>0.251</v>
      </c>
      <c r="AB63" s="5">
        <v>0.23300000000000001</v>
      </c>
      <c r="AC63" s="3">
        <v>0.23899999999999999</v>
      </c>
      <c r="AD63" s="6">
        <v>0.70199999999999996</v>
      </c>
      <c r="AE63" s="3">
        <v>0.24199999999999999</v>
      </c>
      <c r="AF63" s="8">
        <v>490</v>
      </c>
    </row>
    <row r="64" spans="1:32">
      <c r="C64" s="55"/>
      <c r="D64" s="21">
        <v>0.39400000000000002</v>
      </c>
      <c r="E64" s="10">
        <v>0.105</v>
      </c>
      <c r="F64" s="10">
        <v>0.108</v>
      </c>
      <c r="G64" s="11">
        <v>0.14199999999999999</v>
      </c>
      <c r="H64" s="11">
        <v>0.14799999999999999</v>
      </c>
      <c r="I64" s="11">
        <v>0.16</v>
      </c>
      <c r="J64" s="11">
        <v>0.154</v>
      </c>
      <c r="K64" s="11">
        <v>0.16600000000000001</v>
      </c>
      <c r="L64" s="11">
        <v>0.14799999999999999</v>
      </c>
      <c r="M64" s="11">
        <v>0.17299999999999999</v>
      </c>
      <c r="N64" s="20">
        <v>0.49199999999999999</v>
      </c>
      <c r="O64" s="15">
        <v>0.186</v>
      </c>
      <c r="P64" s="8">
        <v>750</v>
      </c>
      <c r="S64" s="55"/>
      <c r="T64" s="20">
        <v>0.45200000000000001</v>
      </c>
      <c r="U64" s="10">
        <v>0.109</v>
      </c>
      <c r="V64" s="10">
        <v>0.112</v>
      </c>
      <c r="W64" s="10">
        <v>0.124</v>
      </c>
      <c r="X64" s="11">
        <v>0.14399999999999999</v>
      </c>
      <c r="Y64" s="11">
        <v>0.161</v>
      </c>
      <c r="Z64" s="11">
        <v>0.16200000000000001</v>
      </c>
      <c r="AA64" s="15">
        <v>0.17499999999999999</v>
      </c>
      <c r="AB64" s="11">
        <v>0.16200000000000001</v>
      </c>
      <c r="AC64" s="15">
        <v>0.16800000000000001</v>
      </c>
      <c r="AD64" s="31">
        <v>0.40500000000000003</v>
      </c>
      <c r="AE64" s="15">
        <v>0.16700000000000001</v>
      </c>
      <c r="AF64" s="8">
        <v>750</v>
      </c>
    </row>
    <row r="65" spans="1:32">
      <c r="C65" s="54" t="s">
        <v>6</v>
      </c>
      <c r="D65" s="16">
        <v>1.75</v>
      </c>
      <c r="E65" s="5">
        <v>0.14599999999999999</v>
      </c>
      <c r="F65" s="5">
        <v>0.154</v>
      </c>
      <c r="G65" s="5">
        <v>0.19400000000000001</v>
      </c>
      <c r="H65" s="5">
        <v>0.18</v>
      </c>
      <c r="I65" s="5">
        <v>0.188</v>
      </c>
      <c r="J65" s="5">
        <v>0.186</v>
      </c>
      <c r="K65" s="5">
        <v>0.20499999999999999</v>
      </c>
      <c r="L65" s="19">
        <v>0.58399999999999996</v>
      </c>
      <c r="M65" s="3">
        <v>0.26100000000000001</v>
      </c>
      <c r="N65" s="5">
        <v>0.20799999999999999</v>
      </c>
      <c r="O65" s="5">
        <v>0.219</v>
      </c>
      <c r="P65" s="8">
        <v>490</v>
      </c>
      <c r="S65" s="54" t="s">
        <v>6</v>
      </c>
      <c r="T65" s="16">
        <v>1.603</v>
      </c>
      <c r="U65" s="5">
        <v>0.14699999999999999</v>
      </c>
      <c r="V65" s="3">
        <v>0.24</v>
      </c>
      <c r="W65" s="5">
        <v>0.20599999999999999</v>
      </c>
      <c r="X65" s="5">
        <v>0.17499999999999999</v>
      </c>
      <c r="Y65" s="5">
        <v>0.20200000000000001</v>
      </c>
      <c r="Z65" s="5">
        <v>0.23200000000000001</v>
      </c>
      <c r="AA65" s="5">
        <v>0.21299999999999999</v>
      </c>
      <c r="AB65" s="19">
        <v>0.499</v>
      </c>
      <c r="AC65" s="3">
        <v>0.31</v>
      </c>
      <c r="AD65" s="5">
        <v>0.21099999999999999</v>
      </c>
      <c r="AE65" s="5">
        <v>0.221</v>
      </c>
      <c r="AF65" s="8">
        <v>490</v>
      </c>
    </row>
    <row r="66" spans="1:32">
      <c r="C66" s="55"/>
      <c r="D66" s="12">
        <v>0.67800000000000005</v>
      </c>
      <c r="E66" s="10">
        <v>0.106</v>
      </c>
      <c r="F66" s="10">
        <v>0.111</v>
      </c>
      <c r="G66" s="10">
        <v>0.11600000000000001</v>
      </c>
      <c r="H66" s="10">
        <v>0.127</v>
      </c>
      <c r="I66" s="11">
        <v>0.13400000000000001</v>
      </c>
      <c r="J66" s="10">
        <v>0.13300000000000001</v>
      </c>
      <c r="K66" s="11">
        <v>0.14799999999999999</v>
      </c>
      <c r="L66" s="13">
        <v>0.33600000000000002</v>
      </c>
      <c r="M66" s="15">
        <v>0.18</v>
      </c>
      <c r="N66" s="11">
        <v>0.152</v>
      </c>
      <c r="O66" s="11">
        <v>0.156</v>
      </c>
      <c r="P66" s="8">
        <v>750</v>
      </c>
      <c r="S66" s="55"/>
      <c r="T66" s="12">
        <v>0.63100000000000001</v>
      </c>
      <c r="U66" s="10">
        <v>0.106</v>
      </c>
      <c r="V66" s="11">
        <v>0.14399999999999999</v>
      </c>
      <c r="W66" s="10">
        <v>0.124</v>
      </c>
      <c r="X66" s="10">
        <v>0.124</v>
      </c>
      <c r="Y66" s="11">
        <v>0.14599999999999999</v>
      </c>
      <c r="Z66" s="11">
        <v>0.16400000000000001</v>
      </c>
      <c r="AA66" s="11">
        <v>0.153</v>
      </c>
      <c r="AB66" s="22">
        <v>0.26800000000000002</v>
      </c>
      <c r="AC66" s="9">
        <v>0.20799999999999999</v>
      </c>
      <c r="AD66" s="11">
        <v>0.155</v>
      </c>
      <c r="AE66" s="11">
        <v>0.155</v>
      </c>
      <c r="AF66" s="8">
        <v>750</v>
      </c>
    </row>
    <row r="67" spans="1:32">
      <c r="C67" s="54" t="s">
        <v>7</v>
      </c>
      <c r="D67" s="5">
        <v>0.14699999999999999</v>
      </c>
      <c r="E67" s="5">
        <v>0.14099999999999999</v>
      </c>
      <c r="F67" s="5">
        <v>0.151</v>
      </c>
      <c r="G67" s="5">
        <v>0.157</v>
      </c>
      <c r="H67" s="5">
        <v>0.158</v>
      </c>
      <c r="I67" s="6">
        <v>0.71299999999999997</v>
      </c>
      <c r="J67" s="5">
        <v>0.23799999999999999</v>
      </c>
      <c r="K67" s="5">
        <v>0.188</v>
      </c>
      <c r="L67" s="5">
        <v>0.16600000000000001</v>
      </c>
      <c r="M67" s="5">
        <v>0.16800000000000001</v>
      </c>
      <c r="N67" s="5">
        <v>0.184</v>
      </c>
      <c r="O67" s="3">
        <v>0.32900000000000001</v>
      </c>
      <c r="P67" s="8">
        <v>490</v>
      </c>
      <c r="S67" s="54" t="s">
        <v>7</v>
      </c>
      <c r="T67" s="5">
        <v>0.14399999999999999</v>
      </c>
      <c r="U67" s="5">
        <v>0.14599999999999999</v>
      </c>
      <c r="V67" s="5">
        <v>0.155</v>
      </c>
      <c r="W67" s="5">
        <v>0.154</v>
      </c>
      <c r="X67" s="5">
        <v>0.158</v>
      </c>
      <c r="Y67" s="5">
        <v>0.17199999999999999</v>
      </c>
      <c r="Z67" s="5">
        <v>0.16800000000000001</v>
      </c>
      <c r="AA67" s="5">
        <v>0.19800000000000001</v>
      </c>
      <c r="AB67" s="5">
        <v>0.17499999999999999</v>
      </c>
      <c r="AC67" s="5">
        <v>0.18</v>
      </c>
      <c r="AD67" s="5">
        <v>0.187</v>
      </c>
      <c r="AE67" s="3">
        <v>0.33200000000000002</v>
      </c>
      <c r="AF67" s="8">
        <v>490</v>
      </c>
    </row>
    <row r="68" spans="1:32">
      <c r="C68" s="55"/>
      <c r="D68" s="10">
        <v>0.104</v>
      </c>
      <c r="E68" s="10">
        <v>0.10199999999999999</v>
      </c>
      <c r="F68" s="10">
        <v>0.109</v>
      </c>
      <c r="G68" s="10">
        <v>0.113</v>
      </c>
      <c r="H68" s="10">
        <v>0.114</v>
      </c>
      <c r="I68" s="9">
        <v>0.253</v>
      </c>
      <c r="J68" s="10">
        <v>0.129</v>
      </c>
      <c r="K68" s="10">
        <v>0.13200000000000001</v>
      </c>
      <c r="L68" s="10">
        <v>0.11600000000000001</v>
      </c>
      <c r="M68" s="10">
        <v>0.111</v>
      </c>
      <c r="N68" s="10">
        <v>0.13200000000000001</v>
      </c>
      <c r="O68" s="9">
        <v>0.23200000000000001</v>
      </c>
      <c r="P68" s="8">
        <v>750</v>
      </c>
      <c r="S68" s="55"/>
      <c r="T68" s="10">
        <v>0.10199999999999999</v>
      </c>
      <c r="U68" s="10">
        <v>0.106</v>
      </c>
      <c r="V68" s="10">
        <v>0.113</v>
      </c>
      <c r="W68" s="10">
        <v>0.112</v>
      </c>
      <c r="X68" s="10">
        <v>0.114</v>
      </c>
      <c r="Y68" s="10">
        <v>0.122</v>
      </c>
      <c r="Z68" s="10">
        <v>0.12</v>
      </c>
      <c r="AA68" s="11">
        <v>0.13700000000000001</v>
      </c>
      <c r="AB68" s="10">
        <v>0.123</v>
      </c>
      <c r="AC68" s="10">
        <v>0.12</v>
      </c>
      <c r="AD68" s="11">
        <v>0.13500000000000001</v>
      </c>
      <c r="AE68" s="9">
        <v>0.23400000000000001</v>
      </c>
      <c r="AF68" s="8">
        <v>750</v>
      </c>
    </row>
    <row r="69" spans="1:32">
      <c r="C69" s="54" t="s">
        <v>8</v>
      </c>
      <c r="D69" s="5">
        <v>0.15</v>
      </c>
      <c r="E69" s="5">
        <v>0.13800000000000001</v>
      </c>
      <c r="F69" s="5">
        <v>0.13200000000000001</v>
      </c>
      <c r="G69" s="5">
        <v>0.14899999999999999</v>
      </c>
      <c r="H69" s="17">
        <v>0.68400000000000005</v>
      </c>
      <c r="I69" s="5">
        <v>0.16200000000000001</v>
      </c>
      <c r="J69" s="5">
        <v>0.183</v>
      </c>
      <c r="K69" s="5">
        <v>0.24099999999999999</v>
      </c>
      <c r="L69" s="5">
        <v>0.17299999999999999</v>
      </c>
      <c r="M69" s="5">
        <v>0.182</v>
      </c>
      <c r="N69" s="5">
        <v>0.158</v>
      </c>
      <c r="O69" s="14">
        <v>1.212</v>
      </c>
      <c r="P69" s="8">
        <v>490</v>
      </c>
      <c r="S69" s="54" t="s">
        <v>8</v>
      </c>
      <c r="T69" s="4">
        <v>0.78400000000000003</v>
      </c>
      <c r="U69" s="5">
        <v>0.13800000000000001</v>
      </c>
      <c r="V69" s="5">
        <v>0.13300000000000001</v>
      </c>
      <c r="W69" s="5">
        <v>0.153</v>
      </c>
      <c r="X69" s="5">
        <v>0.18099999999999999</v>
      </c>
      <c r="Y69" s="5">
        <v>0.16400000000000001</v>
      </c>
      <c r="Z69" s="5">
        <v>0.17100000000000001</v>
      </c>
      <c r="AA69" s="5">
        <v>0.16400000000000001</v>
      </c>
      <c r="AB69" s="5">
        <v>0.17699999999999999</v>
      </c>
      <c r="AC69" s="5">
        <v>0.23100000000000001</v>
      </c>
      <c r="AD69" s="5">
        <v>0.158</v>
      </c>
      <c r="AE69" s="5">
        <v>0.16200000000000001</v>
      </c>
      <c r="AF69" s="8">
        <v>490</v>
      </c>
    </row>
    <row r="70" spans="1:32">
      <c r="C70" s="55"/>
      <c r="D70" s="10">
        <v>0.105</v>
      </c>
      <c r="E70" s="10">
        <v>0.10100000000000001</v>
      </c>
      <c r="F70" s="10">
        <v>9.4E-2</v>
      </c>
      <c r="G70" s="10">
        <v>0.106</v>
      </c>
      <c r="H70" s="9">
        <v>0.246</v>
      </c>
      <c r="I70" s="10">
        <v>0.115</v>
      </c>
      <c r="J70" s="10">
        <v>0.12</v>
      </c>
      <c r="K70" s="11">
        <v>0.14599999999999999</v>
      </c>
      <c r="L70" s="10">
        <v>0.125</v>
      </c>
      <c r="M70" s="10">
        <v>0.13300000000000001</v>
      </c>
      <c r="N70" s="10">
        <v>0.112</v>
      </c>
      <c r="O70" s="23">
        <v>0.34699999999999998</v>
      </c>
      <c r="P70" s="8">
        <v>750</v>
      </c>
      <c r="S70" s="55"/>
      <c r="T70" s="22">
        <v>0.26300000000000001</v>
      </c>
      <c r="U70" s="10">
        <v>0.10199999999999999</v>
      </c>
      <c r="V70" s="10">
        <v>9.5000000000000001E-2</v>
      </c>
      <c r="W70" s="10">
        <v>0.11</v>
      </c>
      <c r="X70" s="11">
        <v>0.13500000000000001</v>
      </c>
      <c r="Y70" s="10">
        <v>0.11700000000000001</v>
      </c>
      <c r="Z70" s="10">
        <v>0.11799999999999999</v>
      </c>
      <c r="AA70" s="10">
        <v>0.11700000000000001</v>
      </c>
      <c r="AB70" s="11">
        <v>0.129</v>
      </c>
      <c r="AC70" s="11">
        <v>0.16300000000000001</v>
      </c>
      <c r="AD70" s="10">
        <v>0.114</v>
      </c>
      <c r="AE70" s="10">
        <v>0.115</v>
      </c>
      <c r="AF70" s="8">
        <v>750</v>
      </c>
    </row>
    <row r="71" spans="1:32">
      <c r="C71" s="54" t="s">
        <v>9</v>
      </c>
      <c r="D71" s="3">
        <v>0.25</v>
      </c>
      <c r="E71" s="5">
        <v>0.15</v>
      </c>
      <c r="F71" s="5">
        <v>0.157</v>
      </c>
      <c r="G71" s="5">
        <v>0.155</v>
      </c>
      <c r="H71" s="3">
        <v>0.28499999999999998</v>
      </c>
      <c r="I71" s="19">
        <v>0.58299999999999996</v>
      </c>
      <c r="J71" s="5">
        <v>0.19700000000000001</v>
      </c>
      <c r="K71" s="7">
        <v>0.40300000000000002</v>
      </c>
      <c r="L71" s="4">
        <v>0.94</v>
      </c>
      <c r="M71" s="5">
        <v>0.16200000000000001</v>
      </c>
      <c r="N71" s="5">
        <v>0.19500000000000001</v>
      </c>
      <c r="O71" s="5">
        <v>0.158</v>
      </c>
      <c r="P71" s="8">
        <v>490</v>
      </c>
      <c r="S71" s="54" t="s">
        <v>9</v>
      </c>
      <c r="T71" s="5">
        <v>0.14699999999999999</v>
      </c>
      <c r="U71" s="5">
        <v>0.14399999999999999</v>
      </c>
      <c r="V71" s="5">
        <v>0.20200000000000001</v>
      </c>
      <c r="W71" s="5">
        <v>0.19</v>
      </c>
      <c r="X71" s="3">
        <v>0.29299999999999998</v>
      </c>
      <c r="Y71" s="17">
        <v>0.58499999999999996</v>
      </c>
      <c r="Z71" s="5">
        <v>0.191</v>
      </c>
      <c r="AA71" s="5">
        <v>0.18</v>
      </c>
      <c r="AB71" s="5">
        <v>0.17199999999999999</v>
      </c>
      <c r="AC71" s="14">
        <v>1.1319999999999999</v>
      </c>
      <c r="AD71" s="5">
        <v>0.182</v>
      </c>
      <c r="AE71" s="5">
        <v>0.153</v>
      </c>
      <c r="AF71" s="8">
        <v>490</v>
      </c>
    </row>
    <row r="72" spans="1:32">
      <c r="C72" s="55"/>
      <c r="D72" s="11">
        <v>0.14699999999999999</v>
      </c>
      <c r="E72" s="10">
        <v>0.105</v>
      </c>
      <c r="F72" s="10">
        <v>0.109</v>
      </c>
      <c r="G72" s="10">
        <v>0.107</v>
      </c>
      <c r="H72" s="11">
        <v>0.16400000000000001</v>
      </c>
      <c r="I72" s="10">
        <v>0.124</v>
      </c>
      <c r="J72" s="10">
        <v>9.1999999999999998E-2</v>
      </c>
      <c r="K72" s="15">
        <v>0.17699999999999999</v>
      </c>
      <c r="L72" s="22">
        <v>0.28299999999999997</v>
      </c>
      <c r="M72" s="10">
        <v>0.105</v>
      </c>
      <c r="N72" s="10">
        <v>0.123</v>
      </c>
      <c r="O72" s="10">
        <v>0.109</v>
      </c>
      <c r="P72" s="8">
        <v>750</v>
      </c>
      <c r="S72" s="55"/>
      <c r="T72" s="10">
        <v>0.10299999999999999</v>
      </c>
      <c r="U72" s="10">
        <v>0.10299999999999999</v>
      </c>
      <c r="V72" s="10">
        <v>0.125</v>
      </c>
      <c r="W72" s="10">
        <v>0.113</v>
      </c>
      <c r="X72" s="15">
        <v>0.16800000000000001</v>
      </c>
      <c r="Y72" s="10">
        <v>0.126</v>
      </c>
      <c r="Z72" s="10">
        <v>8.7999999999999995E-2</v>
      </c>
      <c r="AA72" s="10">
        <v>0.11600000000000001</v>
      </c>
      <c r="AB72" s="10">
        <v>0.111</v>
      </c>
      <c r="AC72" s="21">
        <v>0.39800000000000002</v>
      </c>
      <c r="AD72" s="10">
        <v>0.121</v>
      </c>
      <c r="AE72" s="10">
        <v>0.105</v>
      </c>
      <c r="AF72" s="8">
        <v>750</v>
      </c>
    </row>
    <row r="74" spans="1:32">
      <c r="A74" s="33" t="s">
        <v>13</v>
      </c>
      <c r="B74">
        <v>72</v>
      </c>
      <c r="C74" s="1"/>
      <c r="D74" s="2">
        <v>1</v>
      </c>
      <c r="E74" s="2">
        <v>2</v>
      </c>
      <c r="F74" s="2">
        <v>3</v>
      </c>
      <c r="G74" s="2">
        <v>4</v>
      </c>
      <c r="H74" s="2">
        <v>5</v>
      </c>
      <c r="I74" s="2">
        <v>6</v>
      </c>
      <c r="J74" s="2">
        <v>7</v>
      </c>
      <c r="K74" s="2">
        <v>8</v>
      </c>
      <c r="L74" s="2">
        <v>9</v>
      </c>
      <c r="M74" s="2">
        <v>10</v>
      </c>
      <c r="N74" s="2">
        <v>11</v>
      </c>
      <c r="O74" s="2">
        <v>12</v>
      </c>
      <c r="Q74" t="s">
        <v>14</v>
      </c>
      <c r="R74" s="27">
        <v>72</v>
      </c>
      <c r="S74" s="1"/>
      <c r="T74" s="2">
        <v>1</v>
      </c>
      <c r="U74" s="2">
        <v>2</v>
      </c>
      <c r="V74" s="2">
        <v>3</v>
      </c>
      <c r="W74" s="2">
        <v>4</v>
      </c>
      <c r="X74" s="2">
        <v>5</v>
      </c>
      <c r="Y74" s="2">
        <v>6</v>
      </c>
      <c r="Z74" s="2">
        <v>7</v>
      </c>
      <c r="AA74" s="2">
        <v>8</v>
      </c>
      <c r="AB74" s="2">
        <v>9</v>
      </c>
      <c r="AC74" s="2">
        <v>10</v>
      </c>
      <c r="AD74" s="2">
        <v>11</v>
      </c>
      <c r="AE74" s="2">
        <v>12</v>
      </c>
    </row>
    <row r="75" spans="1:32">
      <c r="C75" s="54" t="s">
        <v>2</v>
      </c>
      <c r="D75" s="5">
        <v>0.14499999999999999</v>
      </c>
      <c r="E75" s="7">
        <v>0.41499999999999998</v>
      </c>
      <c r="F75" s="5">
        <v>0.153</v>
      </c>
      <c r="G75" s="5">
        <v>0.154</v>
      </c>
      <c r="H75" s="5">
        <v>0.16700000000000001</v>
      </c>
      <c r="I75" s="5">
        <v>0.16300000000000001</v>
      </c>
      <c r="J75" s="5">
        <v>0.21199999999999999</v>
      </c>
      <c r="K75" s="17">
        <v>0.60099999999999998</v>
      </c>
      <c r="L75" s="5">
        <v>0.20300000000000001</v>
      </c>
      <c r="M75" s="6">
        <v>0.64400000000000002</v>
      </c>
      <c r="N75" s="28">
        <v>0.97099999999999997</v>
      </c>
      <c r="O75" s="19">
        <v>0.45200000000000001</v>
      </c>
      <c r="P75" s="8">
        <v>490</v>
      </c>
      <c r="S75" s="54" t="s">
        <v>2</v>
      </c>
      <c r="T75" s="5">
        <v>0.14499999999999999</v>
      </c>
      <c r="U75" s="19">
        <v>0.45900000000000002</v>
      </c>
      <c r="V75" s="5">
        <v>0.155</v>
      </c>
      <c r="W75" s="24">
        <v>1.1930000000000001</v>
      </c>
      <c r="X75" s="5">
        <v>0.16200000000000001</v>
      </c>
      <c r="Y75" s="29">
        <v>1.2649999999999999</v>
      </c>
      <c r="Z75" s="5">
        <v>0.215</v>
      </c>
      <c r="AA75" s="17">
        <v>0.59</v>
      </c>
      <c r="AB75" s="3">
        <v>0.23499999999999999</v>
      </c>
      <c r="AC75" s="6">
        <v>0.70099999999999996</v>
      </c>
      <c r="AD75" s="28">
        <v>0.96</v>
      </c>
      <c r="AE75" s="3">
        <v>0.23400000000000001</v>
      </c>
      <c r="AF75" s="8">
        <v>490</v>
      </c>
    </row>
    <row r="76" spans="1:32">
      <c r="C76" s="55"/>
      <c r="D76" s="10">
        <v>0.1</v>
      </c>
      <c r="E76" s="10">
        <v>0.124</v>
      </c>
      <c r="F76" s="10">
        <v>0.107</v>
      </c>
      <c r="G76" s="10">
        <v>0.106</v>
      </c>
      <c r="H76" s="10">
        <v>0.11799999999999999</v>
      </c>
      <c r="I76" s="10">
        <v>9.8000000000000004E-2</v>
      </c>
      <c r="J76" s="11">
        <v>0.14799999999999999</v>
      </c>
      <c r="K76" s="21">
        <v>0.377</v>
      </c>
      <c r="L76" s="11">
        <v>0.13900000000000001</v>
      </c>
      <c r="M76" s="20">
        <v>0.436</v>
      </c>
      <c r="N76" s="12">
        <v>0.59299999999999997</v>
      </c>
      <c r="O76" s="23">
        <v>0.33400000000000002</v>
      </c>
      <c r="P76" s="8">
        <v>750</v>
      </c>
      <c r="S76" s="55"/>
      <c r="T76" s="10">
        <v>0.1</v>
      </c>
      <c r="U76" s="11">
        <v>0.127</v>
      </c>
      <c r="V76" s="10">
        <v>0.108</v>
      </c>
      <c r="W76" s="13">
        <v>0.33700000000000002</v>
      </c>
      <c r="X76" s="10">
        <v>0.115</v>
      </c>
      <c r="Y76" s="20">
        <v>0.46500000000000002</v>
      </c>
      <c r="Z76" s="11">
        <v>0.14799999999999999</v>
      </c>
      <c r="AA76" s="23">
        <v>0.375</v>
      </c>
      <c r="AB76" s="11">
        <v>0.157</v>
      </c>
      <c r="AC76" s="31">
        <v>0.44</v>
      </c>
      <c r="AD76" s="26">
        <v>0.60599999999999998</v>
      </c>
      <c r="AE76" s="15">
        <v>0.19700000000000001</v>
      </c>
      <c r="AF76" s="8">
        <v>750</v>
      </c>
    </row>
    <row r="77" spans="1:32">
      <c r="C77" s="54" t="s">
        <v>3</v>
      </c>
      <c r="D77" s="5">
        <v>0.15</v>
      </c>
      <c r="E77" s="4">
        <v>0.76600000000000001</v>
      </c>
      <c r="F77" s="6">
        <v>0.72299999999999998</v>
      </c>
      <c r="G77" s="5">
        <v>0.17399999999999999</v>
      </c>
      <c r="H77" s="5">
        <v>0.19</v>
      </c>
      <c r="I77" s="5">
        <v>0.21</v>
      </c>
      <c r="J77" s="3">
        <v>0.253</v>
      </c>
      <c r="K77" s="14">
        <v>1.107</v>
      </c>
      <c r="L77" s="3">
        <v>0.25900000000000001</v>
      </c>
      <c r="M77" s="3">
        <v>0.23200000000000001</v>
      </c>
      <c r="N77" s="30">
        <v>0.90300000000000002</v>
      </c>
      <c r="O77" s="4">
        <v>0.77</v>
      </c>
      <c r="P77" s="8">
        <v>490</v>
      </c>
      <c r="S77" s="54" t="s">
        <v>3</v>
      </c>
      <c r="T77" s="5">
        <v>0.151</v>
      </c>
      <c r="U77" s="6">
        <v>0.71599999999999997</v>
      </c>
      <c r="V77" s="17">
        <v>0.59099999999999997</v>
      </c>
      <c r="W77" s="5">
        <v>0.17799999999999999</v>
      </c>
      <c r="X77" s="5">
        <v>0.192</v>
      </c>
      <c r="Y77" s="29">
        <v>1.3029999999999999</v>
      </c>
      <c r="Z77" s="3">
        <v>0.26400000000000001</v>
      </c>
      <c r="AA77" s="30">
        <v>0.88200000000000001</v>
      </c>
      <c r="AB77" s="3">
        <v>0.255</v>
      </c>
      <c r="AC77" s="3">
        <v>0.246</v>
      </c>
      <c r="AD77" s="4">
        <v>0.83399999999999996</v>
      </c>
      <c r="AE77" s="3">
        <v>0.313</v>
      </c>
      <c r="AF77" s="8">
        <v>490</v>
      </c>
    </row>
    <row r="78" spans="1:32">
      <c r="C78" s="55"/>
      <c r="D78" s="10">
        <v>0.10199999999999999</v>
      </c>
      <c r="E78" s="18">
        <v>0.47599999999999998</v>
      </c>
      <c r="F78" s="20">
        <v>0.46</v>
      </c>
      <c r="G78" s="10">
        <v>0.109</v>
      </c>
      <c r="H78" s="10">
        <v>0.11899999999999999</v>
      </c>
      <c r="I78" s="11">
        <v>0.14799999999999999</v>
      </c>
      <c r="J78" s="15">
        <v>0.17399999999999999</v>
      </c>
      <c r="K78" s="20">
        <v>0.43099999999999999</v>
      </c>
      <c r="L78" s="15">
        <v>0.17499999999999999</v>
      </c>
      <c r="M78" s="15">
        <v>0.16900000000000001</v>
      </c>
      <c r="N78" s="26">
        <v>0.56899999999999995</v>
      </c>
      <c r="O78" s="23">
        <v>0.318</v>
      </c>
      <c r="P78" s="8">
        <v>750</v>
      </c>
      <c r="S78" s="55"/>
      <c r="T78" s="10">
        <v>0.104</v>
      </c>
      <c r="U78" s="31">
        <v>0.443</v>
      </c>
      <c r="V78" s="23">
        <v>0.36</v>
      </c>
      <c r="W78" s="10">
        <v>0.114</v>
      </c>
      <c r="X78" s="10">
        <v>0.11899999999999999</v>
      </c>
      <c r="Y78" s="31">
        <v>0.44500000000000001</v>
      </c>
      <c r="Z78" s="15">
        <v>0.17799999999999999</v>
      </c>
      <c r="AA78" s="22">
        <v>0.28799999999999998</v>
      </c>
      <c r="AB78" s="15">
        <v>0.17399999999999999</v>
      </c>
      <c r="AC78" s="15">
        <v>0.18</v>
      </c>
      <c r="AD78" s="18">
        <v>0.50700000000000001</v>
      </c>
      <c r="AE78" s="15">
        <v>0.20599999999999999</v>
      </c>
      <c r="AF78" s="8">
        <v>750</v>
      </c>
    </row>
    <row r="79" spans="1:32">
      <c r="C79" s="54" t="s">
        <v>4</v>
      </c>
      <c r="D79" s="5">
        <v>0.154</v>
      </c>
      <c r="E79" s="5">
        <v>0.17899999999999999</v>
      </c>
      <c r="F79" s="5">
        <v>0.154</v>
      </c>
      <c r="G79" s="28">
        <v>0.95799999999999996</v>
      </c>
      <c r="H79" s="5">
        <v>0.17799999999999999</v>
      </c>
      <c r="I79" s="7">
        <v>0.39300000000000002</v>
      </c>
      <c r="J79" s="28">
        <v>1.02</v>
      </c>
      <c r="K79" s="6">
        <v>0.64100000000000001</v>
      </c>
      <c r="L79" s="14">
        <v>1.0509999999999999</v>
      </c>
      <c r="M79" s="6">
        <v>0.70199999999999996</v>
      </c>
      <c r="N79" s="5">
        <v>0.224</v>
      </c>
      <c r="O79" s="3">
        <v>0.24</v>
      </c>
      <c r="P79" s="8">
        <v>490</v>
      </c>
      <c r="S79" s="54" t="s">
        <v>4</v>
      </c>
      <c r="T79" s="3">
        <v>0.25</v>
      </c>
      <c r="U79" s="5">
        <v>0.17499999999999999</v>
      </c>
      <c r="V79" s="5">
        <v>0.154</v>
      </c>
      <c r="W79" s="30">
        <v>0.94199999999999995</v>
      </c>
      <c r="X79" s="5">
        <v>0.17799999999999999</v>
      </c>
      <c r="Y79" s="7">
        <v>0.373</v>
      </c>
      <c r="Z79" s="24">
        <v>1.1639999999999999</v>
      </c>
      <c r="AA79" s="17">
        <v>0.60799999999999998</v>
      </c>
      <c r="AB79" s="28">
        <v>1.0209999999999999</v>
      </c>
      <c r="AC79" s="6">
        <v>0.70499999999999996</v>
      </c>
      <c r="AD79" s="5">
        <v>0.224</v>
      </c>
      <c r="AE79" s="3">
        <v>0.24</v>
      </c>
      <c r="AF79" s="8">
        <v>490</v>
      </c>
    </row>
    <row r="80" spans="1:32">
      <c r="C80" s="55"/>
      <c r="D80" s="10">
        <v>0.10299999999999999</v>
      </c>
      <c r="E80" s="10">
        <v>9.9000000000000005E-2</v>
      </c>
      <c r="F80" s="10">
        <v>0.107</v>
      </c>
      <c r="G80" s="23">
        <v>0.34</v>
      </c>
      <c r="H80" s="10">
        <v>0.125</v>
      </c>
      <c r="I80" s="9">
        <v>0.22600000000000001</v>
      </c>
      <c r="J80" s="12">
        <v>0.61199999999999999</v>
      </c>
      <c r="K80" s="13">
        <v>0.28199999999999997</v>
      </c>
      <c r="L80" s="12">
        <v>0.6</v>
      </c>
      <c r="M80" s="20">
        <v>0.46100000000000002</v>
      </c>
      <c r="N80" s="11">
        <v>0.15</v>
      </c>
      <c r="O80" s="15">
        <v>0.16400000000000001</v>
      </c>
      <c r="P80" s="8">
        <v>750</v>
      </c>
      <c r="S80" s="55"/>
      <c r="T80" s="11">
        <v>0.13300000000000001</v>
      </c>
      <c r="U80" s="10">
        <v>9.7000000000000003E-2</v>
      </c>
      <c r="V80" s="10">
        <v>0.108</v>
      </c>
      <c r="W80" s="13">
        <v>0.315</v>
      </c>
      <c r="X80" s="10">
        <v>0.126</v>
      </c>
      <c r="Y80" s="9">
        <v>0.216</v>
      </c>
      <c r="Z80" s="26">
        <v>0.63300000000000001</v>
      </c>
      <c r="AA80" s="9">
        <v>0.24199999999999999</v>
      </c>
      <c r="AB80" s="26">
        <v>0.59799999999999998</v>
      </c>
      <c r="AC80" s="31">
        <v>0.46400000000000002</v>
      </c>
      <c r="AD80" s="11">
        <v>0.151</v>
      </c>
      <c r="AE80" s="11">
        <v>0.16400000000000001</v>
      </c>
      <c r="AF80" s="8">
        <v>750</v>
      </c>
    </row>
    <row r="81" spans="3:46">
      <c r="C81" s="54" t="s">
        <v>5</v>
      </c>
      <c r="D81" s="14">
        <v>1.119</v>
      </c>
      <c r="E81" s="5">
        <v>0.14399999999999999</v>
      </c>
      <c r="F81" s="5">
        <v>0.15</v>
      </c>
      <c r="G81" s="5">
        <v>0.186</v>
      </c>
      <c r="H81" s="4">
        <v>0.74</v>
      </c>
      <c r="I81" s="3">
        <v>0.23400000000000001</v>
      </c>
      <c r="J81" s="5">
        <v>0.21299999999999999</v>
      </c>
      <c r="K81" s="3">
        <v>0.23300000000000001</v>
      </c>
      <c r="L81" s="5">
        <v>0.20200000000000001</v>
      </c>
      <c r="M81" s="3">
        <v>0.23300000000000001</v>
      </c>
      <c r="N81" s="30">
        <v>0.88700000000000001</v>
      </c>
      <c r="O81" s="3">
        <v>0.27300000000000002</v>
      </c>
      <c r="P81" s="8">
        <v>490</v>
      </c>
      <c r="S81" s="54" t="s">
        <v>5</v>
      </c>
      <c r="T81" s="28">
        <v>0.96099999999999997</v>
      </c>
      <c r="U81" s="5">
        <v>0.14799999999999999</v>
      </c>
      <c r="V81" s="5">
        <v>0.154</v>
      </c>
      <c r="W81" s="5">
        <v>0.16600000000000001</v>
      </c>
      <c r="X81" s="5">
        <v>0.19800000000000001</v>
      </c>
      <c r="Y81" s="3">
        <v>0.23499999999999999</v>
      </c>
      <c r="Z81" s="5">
        <v>0.223</v>
      </c>
      <c r="AA81" s="3">
        <v>0.249</v>
      </c>
      <c r="AB81" s="5">
        <v>0.22800000000000001</v>
      </c>
      <c r="AC81" s="5">
        <v>0.23200000000000001</v>
      </c>
      <c r="AD81" s="4">
        <v>0.8</v>
      </c>
      <c r="AE81" s="5">
        <v>0.224</v>
      </c>
      <c r="AF81" s="8">
        <v>490</v>
      </c>
    </row>
    <row r="82" spans="3:46">
      <c r="C82" s="55"/>
      <c r="D82" s="23">
        <v>0.34300000000000003</v>
      </c>
      <c r="E82" s="10">
        <v>0.10100000000000001</v>
      </c>
      <c r="F82" s="10">
        <v>0.104</v>
      </c>
      <c r="G82" s="10">
        <v>0.125</v>
      </c>
      <c r="H82" s="22">
        <v>0.25</v>
      </c>
      <c r="I82" s="11">
        <v>0.153</v>
      </c>
      <c r="J82" s="11">
        <v>0.14899999999999999</v>
      </c>
      <c r="K82" s="11">
        <v>0.161</v>
      </c>
      <c r="L82" s="11">
        <v>0.14099999999999999</v>
      </c>
      <c r="M82" s="11">
        <v>0.16</v>
      </c>
      <c r="N82" s="26">
        <v>0.54500000000000004</v>
      </c>
      <c r="O82" s="15">
        <v>0.17399999999999999</v>
      </c>
      <c r="P82" s="8">
        <v>750</v>
      </c>
      <c r="S82" s="55"/>
      <c r="T82" s="22">
        <v>0.28499999999999998</v>
      </c>
      <c r="U82" s="10">
        <v>0.104</v>
      </c>
      <c r="V82" s="10">
        <v>0.108</v>
      </c>
      <c r="W82" s="10">
        <v>0.11899999999999999</v>
      </c>
      <c r="X82" s="11">
        <v>0.14000000000000001</v>
      </c>
      <c r="Y82" s="11">
        <v>0.154</v>
      </c>
      <c r="Z82" s="11">
        <v>0.155</v>
      </c>
      <c r="AA82" s="15">
        <v>0.17</v>
      </c>
      <c r="AB82" s="11">
        <v>0.156</v>
      </c>
      <c r="AC82" s="11">
        <v>0.16</v>
      </c>
      <c r="AD82" s="20">
        <v>0.46800000000000003</v>
      </c>
      <c r="AE82" s="11">
        <v>0.153</v>
      </c>
      <c r="AF82" s="8">
        <v>750</v>
      </c>
    </row>
    <row r="83" spans="3:46">
      <c r="C83" s="54" t="s">
        <v>6</v>
      </c>
      <c r="D83" s="16">
        <v>1.5229999999999999</v>
      </c>
      <c r="E83" s="5">
        <v>0.14199999999999999</v>
      </c>
      <c r="F83" s="5">
        <v>0.15</v>
      </c>
      <c r="G83" s="5">
        <v>0.19800000000000001</v>
      </c>
      <c r="H83" s="5">
        <v>0.17699999999999999</v>
      </c>
      <c r="I83" s="5">
        <v>0.189</v>
      </c>
      <c r="J83" s="5">
        <v>0.182</v>
      </c>
      <c r="K83" s="5">
        <v>0.20100000000000001</v>
      </c>
      <c r="L83" s="6">
        <v>0.67900000000000005</v>
      </c>
      <c r="M83" s="3">
        <v>0.25800000000000001</v>
      </c>
      <c r="N83" s="5">
        <v>0.20100000000000001</v>
      </c>
      <c r="O83" s="5">
        <v>0.218</v>
      </c>
      <c r="P83" s="8">
        <v>490</v>
      </c>
      <c r="S83" s="54" t="s">
        <v>6</v>
      </c>
      <c r="T83" s="16">
        <v>1.569</v>
      </c>
      <c r="U83" s="5">
        <v>0.14199999999999999</v>
      </c>
      <c r="V83" s="5">
        <v>0.20499999999999999</v>
      </c>
      <c r="W83" s="5">
        <v>0.20799999999999999</v>
      </c>
      <c r="X83" s="5">
        <v>0.17100000000000001</v>
      </c>
      <c r="Y83" s="5">
        <v>0.19600000000000001</v>
      </c>
      <c r="Z83" s="5">
        <v>0.22600000000000001</v>
      </c>
      <c r="AA83" s="5">
        <v>0.20699999999999999</v>
      </c>
      <c r="AB83" s="17">
        <v>0.61</v>
      </c>
      <c r="AC83" s="3">
        <v>0.30299999999999999</v>
      </c>
      <c r="AD83" s="5">
        <v>0.20399999999999999</v>
      </c>
      <c r="AE83" s="5">
        <v>0.214</v>
      </c>
      <c r="AF83" s="8">
        <v>490</v>
      </c>
    </row>
    <row r="84" spans="3:46">
      <c r="C84" s="55"/>
      <c r="D84" s="32">
        <v>0.52900000000000003</v>
      </c>
      <c r="E84" s="10">
        <v>0.10100000000000001</v>
      </c>
      <c r="F84" s="10">
        <v>0.106</v>
      </c>
      <c r="G84" s="10">
        <v>0.113</v>
      </c>
      <c r="H84" s="10">
        <v>0.123</v>
      </c>
      <c r="I84" s="11">
        <v>0.13300000000000001</v>
      </c>
      <c r="J84" s="11">
        <v>0.128</v>
      </c>
      <c r="K84" s="11">
        <v>0.14299999999999999</v>
      </c>
      <c r="L84" s="31">
        <v>0.39</v>
      </c>
      <c r="M84" s="15">
        <v>0.17499999999999999</v>
      </c>
      <c r="N84" s="11">
        <v>0.14499999999999999</v>
      </c>
      <c r="O84" s="11">
        <v>0.152</v>
      </c>
      <c r="P84" s="8">
        <v>750</v>
      </c>
      <c r="S84" s="55"/>
      <c r="T84" s="12">
        <v>0.67600000000000005</v>
      </c>
      <c r="U84" s="10">
        <v>0.10199999999999999</v>
      </c>
      <c r="V84" s="11">
        <v>0.128</v>
      </c>
      <c r="W84" s="10">
        <v>0.11899999999999999</v>
      </c>
      <c r="X84" s="10">
        <v>0.11899999999999999</v>
      </c>
      <c r="Y84" s="11">
        <v>0.13900000000000001</v>
      </c>
      <c r="Z84" s="11">
        <v>0.151</v>
      </c>
      <c r="AA84" s="11">
        <v>0.14699999999999999</v>
      </c>
      <c r="AB84" s="13">
        <v>0.32800000000000001</v>
      </c>
      <c r="AC84" s="15">
        <v>0.20100000000000001</v>
      </c>
      <c r="AD84" s="11">
        <v>0.14699999999999999</v>
      </c>
      <c r="AE84" s="11">
        <v>0.14799999999999999</v>
      </c>
      <c r="AF84" s="8">
        <v>750</v>
      </c>
    </row>
    <row r="85" spans="3:46">
      <c r="C85" s="54" t="s">
        <v>7</v>
      </c>
      <c r="D85" s="5">
        <v>0.14099999999999999</v>
      </c>
      <c r="E85" s="5">
        <v>0.13700000000000001</v>
      </c>
      <c r="F85" s="5">
        <v>0.14599999999999999</v>
      </c>
      <c r="G85" s="5">
        <v>0.153</v>
      </c>
      <c r="H85" s="5">
        <v>0.153</v>
      </c>
      <c r="I85" s="28">
        <v>0.97099999999999997</v>
      </c>
      <c r="J85" s="3">
        <v>0.23300000000000001</v>
      </c>
      <c r="K85" s="5">
        <v>0.184</v>
      </c>
      <c r="L85" s="5">
        <v>0.161</v>
      </c>
      <c r="M85" s="5">
        <v>0.17</v>
      </c>
      <c r="N85" s="5">
        <v>0.17899999999999999</v>
      </c>
      <c r="O85" s="7">
        <v>0.35499999999999998</v>
      </c>
      <c r="P85" s="8">
        <v>490</v>
      </c>
      <c r="S85" s="54" t="s">
        <v>7</v>
      </c>
      <c r="T85" s="5">
        <v>0.13900000000000001</v>
      </c>
      <c r="U85" s="5">
        <v>0.14099999999999999</v>
      </c>
      <c r="V85" s="5">
        <v>0.15</v>
      </c>
      <c r="W85" s="5">
        <v>0.151</v>
      </c>
      <c r="X85" s="5">
        <v>0.153</v>
      </c>
      <c r="Y85" s="5">
        <v>0.16700000000000001</v>
      </c>
      <c r="Z85" s="5">
        <v>0.16400000000000001</v>
      </c>
      <c r="AA85" s="3">
        <v>0.23499999999999999</v>
      </c>
      <c r="AB85" s="5">
        <v>0.17</v>
      </c>
      <c r="AC85" s="5">
        <v>0.182</v>
      </c>
      <c r="AD85" s="5">
        <v>0.182</v>
      </c>
      <c r="AE85" s="7">
        <v>0.35799999999999998</v>
      </c>
      <c r="AF85" s="8">
        <v>490</v>
      </c>
    </row>
    <row r="86" spans="3:46">
      <c r="C86" s="55"/>
      <c r="D86" s="10">
        <v>9.7000000000000003E-2</v>
      </c>
      <c r="E86" s="10">
        <v>9.8000000000000004E-2</v>
      </c>
      <c r="F86" s="10">
        <v>0.105</v>
      </c>
      <c r="G86" s="10">
        <v>0.108</v>
      </c>
      <c r="H86" s="10">
        <v>0.109</v>
      </c>
      <c r="I86" s="13">
        <v>0.29599999999999999</v>
      </c>
      <c r="J86" s="11">
        <v>0.126</v>
      </c>
      <c r="K86" s="11">
        <v>0.127</v>
      </c>
      <c r="L86" s="10">
        <v>0.11</v>
      </c>
      <c r="M86" s="10">
        <v>0.106</v>
      </c>
      <c r="N86" s="11">
        <v>0.126</v>
      </c>
      <c r="O86" s="22">
        <v>0.247</v>
      </c>
      <c r="P86" s="8">
        <v>750</v>
      </c>
      <c r="S86" s="55"/>
      <c r="T86" s="10">
        <v>9.6000000000000002E-2</v>
      </c>
      <c r="U86" s="10">
        <v>0.10199999999999999</v>
      </c>
      <c r="V86" s="10">
        <v>0.108</v>
      </c>
      <c r="W86" s="10">
        <v>0.108</v>
      </c>
      <c r="X86" s="10">
        <v>0.109</v>
      </c>
      <c r="Y86" s="10">
        <v>0.11700000000000001</v>
      </c>
      <c r="Z86" s="10">
        <v>0.115</v>
      </c>
      <c r="AA86" s="11">
        <v>0.14099999999999999</v>
      </c>
      <c r="AB86" s="10">
        <v>0.11799999999999999</v>
      </c>
      <c r="AC86" s="10">
        <v>0.115</v>
      </c>
      <c r="AD86" s="11">
        <v>0.13</v>
      </c>
      <c r="AE86" s="9">
        <v>0.248</v>
      </c>
      <c r="AF86" s="8">
        <v>750</v>
      </c>
    </row>
    <row r="87" spans="3:46">
      <c r="C87" s="54" t="s">
        <v>8</v>
      </c>
      <c r="D87" s="5">
        <v>0.14399999999999999</v>
      </c>
      <c r="E87" s="5">
        <v>0.13400000000000001</v>
      </c>
      <c r="F87" s="5">
        <v>0.13100000000000001</v>
      </c>
      <c r="G87" s="5">
        <v>0.14499999999999999</v>
      </c>
      <c r="H87" s="24">
        <v>1.2090000000000001</v>
      </c>
      <c r="I87" s="5">
        <v>0.16</v>
      </c>
      <c r="J87" s="3">
        <v>0.309</v>
      </c>
      <c r="K87" s="3">
        <v>0.245</v>
      </c>
      <c r="L87" s="5">
        <v>0.16900000000000001</v>
      </c>
      <c r="M87" s="5">
        <v>0.17899999999999999</v>
      </c>
      <c r="N87" s="5">
        <v>0.157</v>
      </c>
      <c r="O87" s="14">
        <v>1.0780000000000001</v>
      </c>
      <c r="P87" s="8">
        <v>490</v>
      </c>
      <c r="S87" s="54" t="s">
        <v>8</v>
      </c>
      <c r="T87" s="25">
        <v>1.4</v>
      </c>
      <c r="U87" s="5">
        <v>0.13500000000000001</v>
      </c>
      <c r="V87" s="5">
        <v>0.13100000000000001</v>
      </c>
      <c r="W87" s="5">
        <v>0.14799999999999999</v>
      </c>
      <c r="X87" s="5">
        <v>0.19</v>
      </c>
      <c r="Y87" s="5">
        <v>0.16300000000000001</v>
      </c>
      <c r="Z87" s="5">
        <v>0.16600000000000001</v>
      </c>
      <c r="AA87" s="5">
        <v>0.16</v>
      </c>
      <c r="AB87" s="5">
        <v>0.17499999999999999</v>
      </c>
      <c r="AC87" s="5">
        <v>0.223</v>
      </c>
      <c r="AD87" s="5">
        <v>0.154</v>
      </c>
      <c r="AE87" s="5">
        <v>0.155</v>
      </c>
      <c r="AF87" s="8">
        <v>490</v>
      </c>
    </row>
    <row r="88" spans="3:46">
      <c r="C88" s="55"/>
      <c r="D88" s="10">
        <v>9.9000000000000005E-2</v>
      </c>
      <c r="E88" s="10">
        <v>9.7000000000000003E-2</v>
      </c>
      <c r="F88" s="10">
        <v>9.1999999999999998E-2</v>
      </c>
      <c r="G88" s="10">
        <v>0.10199999999999999</v>
      </c>
      <c r="H88" s="31">
        <v>0.39400000000000002</v>
      </c>
      <c r="I88" s="10">
        <v>0.113</v>
      </c>
      <c r="J88" s="10">
        <v>0.123</v>
      </c>
      <c r="K88" s="11">
        <v>0.14399999999999999</v>
      </c>
      <c r="L88" s="10">
        <v>0.122</v>
      </c>
      <c r="M88" s="11">
        <v>0.129</v>
      </c>
      <c r="N88" s="10">
        <v>0.111</v>
      </c>
      <c r="O88" s="22">
        <v>0.27100000000000002</v>
      </c>
      <c r="P88" s="8">
        <v>750</v>
      </c>
      <c r="S88" s="55"/>
      <c r="T88" s="31">
        <v>0.42899999999999999</v>
      </c>
      <c r="U88" s="10">
        <v>9.9000000000000005E-2</v>
      </c>
      <c r="V88" s="10">
        <v>9.1999999999999998E-2</v>
      </c>
      <c r="W88" s="10">
        <v>0.104</v>
      </c>
      <c r="X88" s="11">
        <v>0.14000000000000001</v>
      </c>
      <c r="Y88" s="10">
        <v>0.11700000000000001</v>
      </c>
      <c r="Z88" s="10">
        <v>0.111</v>
      </c>
      <c r="AA88" s="10">
        <v>0.113</v>
      </c>
      <c r="AB88" s="11">
        <v>0.127</v>
      </c>
      <c r="AC88" s="11">
        <v>0.156</v>
      </c>
      <c r="AD88" s="10">
        <v>0.109</v>
      </c>
      <c r="AE88" s="10">
        <v>0.107</v>
      </c>
      <c r="AF88" s="8">
        <v>750</v>
      </c>
    </row>
    <row r="89" spans="3:46">
      <c r="C89" s="54" t="s">
        <v>9</v>
      </c>
      <c r="D89" s="3">
        <v>0.28299999999999997</v>
      </c>
      <c r="E89" s="7">
        <v>0.372</v>
      </c>
      <c r="F89" s="5">
        <v>0.151</v>
      </c>
      <c r="G89" s="5">
        <v>0.151</v>
      </c>
      <c r="H89" s="3">
        <v>0.28100000000000003</v>
      </c>
      <c r="I89" s="17">
        <v>0.61399999999999999</v>
      </c>
      <c r="J89" s="5">
        <v>0.20200000000000001</v>
      </c>
      <c r="K89" s="24">
        <v>1.155</v>
      </c>
      <c r="L89" s="24">
        <v>1.1919999999999999</v>
      </c>
      <c r="M89" s="5">
        <v>0.16200000000000001</v>
      </c>
      <c r="N89" s="5">
        <v>0.191</v>
      </c>
      <c r="O89" s="5">
        <v>0.151</v>
      </c>
      <c r="P89" s="8">
        <v>490</v>
      </c>
      <c r="S89" s="54" t="s">
        <v>9</v>
      </c>
      <c r="T89" s="5">
        <v>0.14099999999999999</v>
      </c>
      <c r="U89" s="5">
        <v>0.14000000000000001</v>
      </c>
      <c r="V89" s="5">
        <v>0.216</v>
      </c>
      <c r="W89" s="5">
        <v>0.219</v>
      </c>
      <c r="X89" s="3">
        <v>0.28799999999999998</v>
      </c>
      <c r="Y89" s="17">
        <v>0.61799999999999999</v>
      </c>
      <c r="Z89" s="5">
        <v>0.19900000000000001</v>
      </c>
      <c r="AA89" s="5">
        <v>0.17699999999999999</v>
      </c>
      <c r="AB89" s="5">
        <v>0.16800000000000001</v>
      </c>
      <c r="AC89" s="24">
        <v>1.2470000000000001</v>
      </c>
      <c r="AD89" s="5">
        <v>0.17699999999999999</v>
      </c>
      <c r="AE89" s="5">
        <v>0.14799999999999999</v>
      </c>
      <c r="AF89" s="8">
        <v>490</v>
      </c>
    </row>
    <row r="90" spans="3:46">
      <c r="C90" s="55"/>
      <c r="D90" s="11">
        <v>0.156</v>
      </c>
      <c r="E90" s="15">
        <v>0.19900000000000001</v>
      </c>
      <c r="F90" s="10">
        <v>0.10299999999999999</v>
      </c>
      <c r="G90" s="10">
        <v>0.10199999999999999</v>
      </c>
      <c r="H90" s="11">
        <v>0.157</v>
      </c>
      <c r="I90" s="10">
        <v>0.123</v>
      </c>
      <c r="J90" s="10">
        <v>8.8999999999999996E-2</v>
      </c>
      <c r="K90" s="23">
        <v>0.32500000000000001</v>
      </c>
      <c r="L90" s="21">
        <v>0.36199999999999999</v>
      </c>
      <c r="M90" s="10">
        <v>0.10299999999999999</v>
      </c>
      <c r="N90" s="10">
        <v>0.123</v>
      </c>
      <c r="O90" s="10">
        <v>0.10299999999999999</v>
      </c>
      <c r="P90" s="8">
        <v>750</v>
      </c>
      <c r="S90" s="55"/>
      <c r="T90" s="10">
        <v>9.8000000000000004E-2</v>
      </c>
      <c r="U90" s="10">
        <v>9.8000000000000004E-2</v>
      </c>
      <c r="V90" s="11">
        <v>0.127</v>
      </c>
      <c r="W90" s="10">
        <v>0.121</v>
      </c>
      <c r="X90" s="11">
        <v>0.16</v>
      </c>
      <c r="Y90" s="10">
        <v>0.125</v>
      </c>
      <c r="Z90" s="10">
        <v>8.5000000000000006E-2</v>
      </c>
      <c r="AA90" s="10">
        <v>0.11</v>
      </c>
      <c r="AB90" s="10">
        <v>0.105</v>
      </c>
      <c r="AC90" s="21">
        <v>0.41099999999999998</v>
      </c>
      <c r="AD90" s="10">
        <v>0.11799999999999999</v>
      </c>
      <c r="AE90" s="10">
        <v>0.10100000000000001</v>
      </c>
      <c r="AF90" s="8">
        <v>750</v>
      </c>
      <c r="AG90" t="s">
        <v>15</v>
      </c>
      <c r="AH90" t="s">
        <v>16</v>
      </c>
      <c r="AI90" t="s">
        <v>17</v>
      </c>
    </row>
    <row r="91" spans="3:46">
      <c r="AG91" s="1"/>
      <c r="AH91" s="2">
        <v>1</v>
      </c>
      <c r="AI91" s="2">
        <v>2</v>
      </c>
      <c r="AJ91" s="2">
        <v>3</v>
      </c>
      <c r="AK91" s="2">
        <v>4</v>
      </c>
      <c r="AL91" s="2">
        <v>5</v>
      </c>
      <c r="AM91" s="2">
        <v>6</v>
      </c>
      <c r="AN91" s="2">
        <v>7</v>
      </c>
      <c r="AO91" s="2">
        <v>8</v>
      </c>
      <c r="AP91" s="2">
        <v>9</v>
      </c>
      <c r="AQ91" s="2">
        <v>10</v>
      </c>
      <c r="AR91" s="2">
        <v>11</v>
      </c>
      <c r="AS91" s="2">
        <v>12</v>
      </c>
    </row>
    <row r="92" spans="3:46">
      <c r="AG92" s="54" t="s">
        <v>2</v>
      </c>
      <c r="AH92" s="5">
        <v>0.111</v>
      </c>
      <c r="AI92" s="3">
        <v>0.27600000000000002</v>
      </c>
      <c r="AJ92" s="3">
        <v>0.22</v>
      </c>
      <c r="AK92" s="3">
        <v>0.25800000000000001</v>
      </c>
      <c r="AL92" s="7">
        <v>0.34499999999999997</v>
      </c>
      <c r="AM92" s="25">
        <v>1.2829999999999999</v>
      </c>
      <c r="AN92" s="7">
        <v>0.316</v>
      </c>
      <c r="AO92" s="6">
        <v>0.61</v>
      </c>
      <c r="AP92" s="7">
        <v>0.33700000000000002</v>
      </c>
      <c r="AQ92" s="3">
        <v>0.23400000000000001</v>
      </c>
      <c r="AR92" s="7">
        <v>0.32800000000000001</v>
      </c>
      <c r="AS92" s="5">
        <v>0.11799999999999999</v>
      </c>
      <c r="AT92" s="8">
        <v>490</v>
      </c>
    </row>
    <row r="93" spans="3:46">
      <c r="AG93" s="55"/>
      <c r="AH93" s="10">
        <v>9.1999999999999998E-2</v>
      </c>
      <c r="AI93" s="10">
        <v>0.14000000000000001</v>
      </c>
      <c r="AJ93" s="11">
        <v>0.187</v>
      </c>
      <c r="AK93" s="11">
        <v>0.22600000000000001</v>
      </c>
      <c r="AL93" s="15">
        <v>0.309</v>
      </c>
      <c r="AM93" s="12">
        <v>1.284</v>
      </c>
      <c r="AN93" s="15">
        <v>0.28199999999999997</v>
      </c>
      <c r="AO93" s="13">
        <v>0.57999999999999996</v>
      </c>
      <c r="AP93" s="15">
        <v>0.30099999999999999</v>
      </c>
      <c r="AQ93" s="11">
        <v>0.20499999999999999</v>
      </c>
      <c r="AR93" s="15">
        <v>0.254</v>
      </c>
      <c r="AS93" s="10">
        <v>9.6000000000000002E-2</v>
      </c>
      <c r="AT93" s="8">
        <v>750</v>
      </c>
    </row>
    <row r="94" spans="3:46">
      <c r="AG94" s="54" t="s">
        <v>3</v>
      </c>
      <c r="AH94" s="3">
        <v>0.27</v>
      </c>
      <c r="AI94" s="14">
        <v>0.95399999999999996</v>
      </c>
      <c r="AJ94" s="3">
        <v>0.28399999999999997</v>
      </c>
      <c r="AK94" s="7">
        <v>0.29699999999999999</v>
      </c>
      <c r="AL94" s="3">
        <v>0.26600000000000001</v>
      </c>
      <c r="AM94" s="3">
        <v>0.249</v>
      </c>
      <c r="AN94" s="5">
        <v>0.12</v>
      </c>
      <c r="AO94" s="17">
        <v>0.47699999999999998</v>
      </c>
      <c r="AP94" s="5">
        <v>0.17499999999999999</v>
      </c>
      <c r="AQ94" s="7">
        <v>0.318</v>
      </c>
      <c r="AR94" s="7">
        <v>0.32600000000000001</v>
      </c>
      <c r="AS94" s="5">
        <v>0.107</v>
      </c>
      <c r="AT94" s="8">
        <v>490</v>
      </c>
    </row>
    <row r="95" spans="3:46">
      <c r="AG95" s="55"/>
      <c r="AH95" s="11">
        <v>0.23100000000000001</v>
      </c>
      <c r="AI95" s="20">
        <v>0.93400000000000005</v>
      </c>
      <c r="AJ95" s="15">
        <v>0.27100000000000002</v>
      </c>
      <c r="AK95" s="15">
        <v>0.255</v>
      </c>
      <c r="AL95" s="11">
        <v>0.193</v>
      </c>
      <c r="AM95" s="11">
        <v>0.218</v>
      </c>
      <c r="AN95" s="10">
        <v>8.5999999999999993E-2</v>
      </c>
      <c r="AO95" s="10">
        <v>9.0999999999999998E-2</v>
      </c>
      <c r="AP95" s="10">
        <v>0.14799999999999999</v>
      </c>
      <c r="AQ95" s="15">
        <v>0.314</v>
      </c>
      <c r="AR95" s="15">
        <v>0.29499999999999998</v>
      </c>
      <c r="AS95" s="10">
        <v>8.5999999999999993E-2</v>
      </c>
      <c r="AT95" s="8">
        <v>750</v>
      </c>
    </row>
    <row r="96" spans="3:46">
      <c r="AG96" s="54" t="s">
        <v>4</v>
      </c>
      <c r="AH96" s="3">
        <v>0.21099999999999999</v>
      </c>
      <c r="AI96" s="16">
        <v>1.3819999999999999</v>
      </c>
      <c r="AJ96" s="5">
        <v>0.125</v>
      </c>
      <c r="AK96" s="4">
        <v>0.73499999999999999</v>
      </c>
      <c r="AL96" s="5">
        <v>0.192</v>
      </c>
      <c r="AM96" s="5">
        <v>0.16300000000000001</v>
      </c>
      <c r="AN96" s="3">
        <v>0.20499999999999999</v>
      </c>
      <c r="AO96" s="5">
        <v>0.158</v>
      </c>
      <c r="AP96" s="19">
        <v>0.45200000000000001</v>
      </c>
      <c r="AQ96" s="19">
        <v>0.40899999999999997</v>
      </c>
      <c r="AR96" s="6">
        <v>0.58899999999999997</v>
      </c>
      <c r="AS96" s="5">
        <v>0.106</v>
      </c>
      <c r="AT96" s="8">
        <v>490</v>
      </c>
    </row>
    <row r="97" spans="33:46">
      <c r="AG97" s="55"/>
      <c r="AH97" s="11">
        <v>0.17</v>
      </c>
      <c r="AI97" s="12">
        <v>1.282</v>
      </c>
      <c r="AJ97" s="10">
        <v>9.0999999999999998E-2</v>
      </c>
      <c r="AK97" s="11">
        <v>0.252</v>
      </c>
      <c r="AL97" s="10">
        <v>0.14699999999999999</v>
      </c>
      <c r="AM97" s="10">
        <v>9.1999999999999998E-2</v>
      </c>
      <c r="AN97" s="10">
        <v>0.109</v>
      </c>
      <c r="AO97" s="10">
        <v>0.11799999999999999</v>
      </c>
      <c r="AP97" s="9">
        <v>0.41299999999999998</v>
      </c>
      <c r="AQ97" s="9">
        <v>0.40100000000000002</v>
      </c>
      <c r="AR97" s="13">
        <v>0.58299999999999996</v>
      </c>
      <c r="AS97" s="10">
        <v>8.8999999999999996E-2</v>
      </c>
      <c r="AT97" s="8">
        <v>750</v>
      </c>
    </row>
    <row r="98" spans="33:46">
      <c r="AG98" s="54" t="s">
        <v>5</v>
      </c>
      <c r="AH98" s="5">
        <v>0.11799999999999999</v>
      </c>
      <c r="AI98" s="19">
        <v>0.39700000000000002</v>
      </c>
      <c r="AJ98" s="5">
        <v>0.11899999999999999</v>
      </c>
      <c r="AK98" s="5">
        <v>0.113</v>
      </c>
      <c r="AL98" s="5">
        <v>0.16200000000000001</v>
      </c>
      <c r="AM98" s="3">
        <v>0.19800000000000001</v>
      </c>
      <c r="AN98" s="5">
        <v>0.193</v>
      </c>
      <c r="AO98" s="3">
        <v>0.214</v>
      </c>
      <c r="AP98" s="3">
        <v>0.27100000000000002</v>
      </c>
      <c r="AQ98" s="17">
        <v>0.55100000000000005</v>
      </c>
      <c r="AR98" s="7">
        <v>0.31</v>
      </c>
      <c r="AS98" s="5">
        <v>0.107</v>
      </c>
      <c r="AT98" s="8">
        <v>490</v>
      </c>
    </row>
    <row r="99" spans="33:46">
      <c r="AG99" s="55"/>
      <c r="AH99" s="10">
        <v>8.8999999999999996E-2</v>
      </c>
      <c r="AI99" s="9">
        <v>0.35599999999999998</v>
      </c>
      <c r="AJ99" s="10">
        <v>8.6999999999999994E-2</v>
      </c>
      <c r="AK99" s="10">
        <v>8.5999999999999993E-2</v>
      </c>
      <c r="AL99" s="10">
        <v>0.11899999999999999</v>
      </c>
      <c r="AM99" s="10">
        <v>0.108</v>
      </c>
      <c r="AN99" s="10">
        <v>0.155</v>
      </c>
      <c r="AO99" s="11">
        <v>0.182</v>
      </c>
      <c r="AP99" s="11">
        <v>0.23</v>
      </c>
      <c r="AQ99" s="13">
        <v>0.52400000000000002</v>
      </c>
      <c r="AR99" s="15">
        <v>0.27500000000000002</v>
      </c>
      <c r="AS99" s="10">
        <v>8.6999999999999994E-2</v>
      </c>
      <c r="AT99" s="8">
        <v>750</v>
      </c>
    </row>
    <row r="100" spans="33:46">
      <c r="AG100" s="54" t="s">
        <v>6</v>
      </c>
      <c r="AH100" s="5">
        <v>0.11600000000000001</v>
      </c>
      <c r="AI100" s="4">
        <v>0.69899999999999995</v>
      </c>
      <c r="AJ100" s="5">
        <v>0.19700000000000001</v>
      </c>
      <c r="AK100" s="7">
        <v>0.34399999999999997</v>
      </c>
      <c r="AL100" s="5">
        <v>0.13400000000000001</v>
      </c>
      <c r="AM100" s="5">
        <v>0.17799999999999999</v>
      </c>
      <c r="AN100" s="7">
        <v>0.29499999999999998</v>
      </c>
      <c r="AO100" s="5">
        <v>0.13300000000000001</v>
      </c>
      <c r="AP100" s="7">
        <v>0.29399999999999998</v>
      </c>
      <c r="AQ100" s="19">
        <v>0.439</v>
      </c>
      <c r="AR100" s="3">
        <v>0.224</v>
      </c>
      <c r="AS100" s="5">
        <v>0.159</v>
      </c>
      <c r="AT100" s="8">
        <v>490</v>
      </c>
    </row>
    <row r="101" spans="33:46">
      <c r="AG101" s="55"/>
      <c r="AH101" s="10">
        <v>9.8000000000000004E-2</v>
      </c>
      <c r="AI101" s="23">
        <v>0.68200000000000005</v>
      </c>
      <c r="AJ101" s="10">
        <v>0.16500000000000001</v>
      </c>
      <c r="AK101" s="11">
        <v>0.20100000000000001</v>
      </c>
      <c r="AL101" s="10">
        <v>8.4000000000000005E-2</v>
      </c>
      <c r="AM101" s="10">
        <v>0.152</v>
      </c>
      <c r="AN101" s="15">
        <v>0.26</v>
      </c>
      <c r="AO101" s="10">
        <v>0.10100000000000001</v>
      </c>
      <c r="AP101" s="15">
        <v>0.25700000000000001</v>
      </c>
      <c r="AQ101" s="9">
        <v>0.40799999999999997</v>
      </c>
      <c r="AR101" s="11">
        <v>0.19800000000000001</v>
      </c>
      <c r="AS101" s="10">
        <v>0.121</v>
      </c>
      <c r="AT101" s="8">
        <v>750</v>
      </c>
    </row>
    <row r="102" spans="33:46">
      <c r="AG102" s="54" t="s">
        <v>7</v>
      </c>
      <c r="AH102" s="5">
        <v>0.185</v>
      </c>
      <c r="AI102" s="5">
        <v>0.113</v>
      </c>
      <c r="AJ102" s="5">
        <v>0.11899999999999999</v>
      </c>
      <c r="AK102" s="5">
        <v>0.11899999999999999</v>
      </c>
      <c r="AL102" s="5">
        <v>0.17100000000000001</v>
      </c>
      <c r="AM102" s="3">
        <v>0.20599999999999999</v>
      </c>
      <c r="AN102" s="3">
        <v>0.25600000000000001</v>
      </c>
      <c r="AO102" s="5">
        <v>0.11600000000000001</v>
      </c>
      <c r="AP102" s="19">
        <v>0.42299999999999999</v>
      </c>
      <c r="AQ102" s="4">
        <v>0.68300000000000005</v>
      </c>
      <c r="AR102" s="19">
        <v>0.434</v>
      </c>
      <c r="AS102" s="5">
        <v>0.125</v>
      </c>
      <c r="AT102" s="8">
        <v>490</v>
      </c>
    </row>
    <row r="103" spans="33:46">
      <c r="AG103" s="55"/>
      <c r="AH103" s="10">
        <v>0.158</v>
      </c>
      <c r="AI103" s="10">
        <v>8.1000000000000003E-2</v>
      </c>
      <c r="AJ103" s="10">
        <v>8.5000000000000006E-2</v>
      </c>
      <c r="AK103" s="10">
        <v>9.4E-2</v>
      </c>
      <c r="AL103" s="10">
        <v>0.14699999999999999</v>
      </c>
      <c r="AM103" s="11">
        <v>0.184</v>
      </c>
      <c r="AN103" s="11">
        <v>0.22500000000000001</v>
      </c>
      <c r="AO103" s="10">
        <v>8.4000000000000005E-2</v>
      </c>
      <c r="AP103" s="9">
        <v>0.38500000000000001</v>
      </c>
      <c r="AQ103" s="15">
        <v>0.32</v>
      </c>
      <c r="AR103" s="9">
        <v>0.39200000000000002</v>
      </c>
      <c r="AS103" s="10">
        <v>9.6000000000000002E-2</v>
      </c>
      <c r="AT103" s="8">
        <v>750</v>
      </c>
    </row>
    <row r="104" spans="33:46">
      <c r="AG104" s="54" t="s">
        <v>8</v>
      </c>
      <c r="AH104" s="19">
        <v>0.435</v>
      </c>
      <c r="AI104" s="5">
        <v>0.153</v>
      </c>
      <c r="AJ104" s="19">
        <v>0.40500000000000003</v>
      </c>
      <c r="AK104" s="3">
        <v>0.27800000000000002</v>
      </c>
      <c r="AL104" s="3">
        <v>0.23599999999999999</v>
      </c>
      <c r="AM104" s="5">
        <v>0.182</v>
      </c>
      <c r="AN104" s="7">
        <v>0.30199999999999999</v>
      </c>
      <c r="AO104" s="5">
        <v>0.127</v>
      </c>
      <c r="AP104" s="5">
        <v>0.16300000000000001</v>
      </c>
      <c r="AQ104" s="17">
        <v>0.48099999999999998</v>
      </c>
      <c r="AR104" s="3">
        <v>0.28699999999999998</v>
      </c>
      <c r="AS104" s="3">
        <v>0.26500000000000001</v>
      </c>
      <c r="AT104" s="8">
        <v>490</v>
      </c>
    </row>
    <row r="105" spans="33:46">
      <c r="AG105" s="55"/>
      <c r="AH105" s="9">
        <v>0.39600000000000002</v>
      </c>
      <c r="AI105" s="10">
        <v>0.13</v>
      </c>
      <c r="AJ105" s="9">
        <v>0.376</v>
      </c>
      <c r="AK105" s="15">
        <v>0.255</v>
      </c>
      <c r="AL105" s="11">
        <v>0.21299999999999999</v>
      </c>
      <c r="AM105" s="10">
        <v>0.151</v>
      </c>
      <c r="AN105" s="15">
        <v>0.27</v>
      </c>
      <c r="AO105" s="10">
        <v>9.4E-2</v>
      </c>
      <c r="AP105" s="10">
        <v>0.14699999999999999</v>
      </c>
      <c r="AQ105" s="22">
        <v>0.46200000000000002</v>
      </c>
      <c r="AR105" s="11">
        <v>0.193</v>
      </c>
      <c r="AS105" s="11">
        <v>0.23699999999999999</v>
      </c>
      <c r="AT105" s="8">
        <v>750</v>
      </c>
    </row>
    <row r="106" spans="33:46">
      <c r="AG106" s="54" t="s">
        <v>9</v>
      </c>
      <c r="AH106" s="19">
        <v>0.44500000000000001</v>
      </c>
      <c r="AI106" s="19">
        <v>0.436</v>
      </c>
      <c r="AJ106" s="17">
        <v>0.53100000000000003</v>
      </c>
      <c r="AK106" s="5">
        <v>0.17199999999999999</v>
      </c>
      <c r="AL106" s="7">
        <v>0.30499999999999999</v>
      </c>
      <c r="AM106" s="6">
        <v>0.61899999999999999</v>
      </c>
      <c r="AN106" s="7">
        <v>0.34699999999999998</v>
      </c>
      <c r="AO106" s="5">
        <v>0.13500000000000001</v>
      </c>
      <c r="AP106" s="25">
        <v>1.2649999999999999</v>
      </c>
      <c r="AQ106" s="7">
        <v>0.29199999999999998</v>
      </c>
      <c r="AR106" s="6">
        <v>0.64300000000000002</v>
      </c>
      <c r="AS106" s="5">
        <v>0.11</v>
      </c>
      <c r="AT106" s="8">
        <v>490</v>
      </c>
    </row>
    <row r="107" spans="33:46">
      <c r="AG107" s="55"/>
      <c r="AH107" s="9">
        <v>0.41599999999999998</v>
      </c>
      <c r="AI107" s="9">
        <v>0.39600000000000002</v>
      </c>
      <c r="AJ107" s="22">
        <v>0.49199999999999999</v>
      </c>
      <c r="AK107" s="10">
        <v>0.125</v>
      </c>
      <c r="AL107" s="11">
        <v>0.20100000000000001</v>
      </c>
      <c r="AM107" s="11">
        <v>0.24199999999999999</v>
      </c>
      <c r="AN107" s="11">
        <v>0.191</v>
      </c>
      <c r="AO107" s="10">
        <v>8.8999999999999996E-2</v>
      </c>
      <c r="AP107" s="12">
        <v>1.2170000000000001</v>
      </c>
      <c r="AQ107" s="15">
        <v>0.27600000000000002</v>
      </c>
      <c r="AR107" s="23">
        <v>0.63300000000000001</v>
      </c>
      <c r="AS107" s="10">
        <v>8.8999999999999996E-2</v>
      </c>
      <c r="AT107" s="8">
        <v>750</v>
      </c>
    </row>
  </sheetData>
  <mergeCells count="88">
    <mergeCell ref="S85:S86"/>
    <mergeCell ref="S87:S88"/>
    <mergeCell ref="S89:S90"/>
    <mergeCell ref="S75:S76"/>
    <mergeCell ref="S77:S78"/>
    <mergeCell ref="S79:S80"/>
    <mergeCell ref="S81:S82"/>
    <mergeCell ref="S83:S84"/>
    <mergeCell ref="AG102:AG103"/>
    <mergeCell ref="AG104:AG105"/>
    <mergeCell ref="AG106:AG107"/>
    <mergeCell ref="AG92:AG93"/>
    <mergeCell ref="AG94:AG95"/>
    <mergeCell ref="AG96:AG97"/>
    <mergeCell ref="AG98:AG99"/>
    <mergeCell ref="AG100:AG101"/>
    <mergeCell ref="S29:S30"/>
    <mergeCell ref="S33:S34"/>
    <mergeCell ref="S35:S36"/>
    <mergeCell ref="C29:C30"/>
    <mergeCell ref="C31:C32"/>
    <mergeCell ref="C33:C34"/>
    <mergeCell ref="C35:C36"/>
    <mergeCell ref="S31:S32"/>
    <mergeCell ref="C3:C4"/>
    <mergeCell ref="C5:C6"/>
    <mergeCell ref="C7:C8"/>
    <mergeCell ref="C9:C10"/>
    <mergeCell ref="C11:C12"/>
    <mergeCell ref="AG3:AG4"/>
    <mergeCell ref="AG5:AG6"/>
    <mergeCell ref="AG7:AG8"/>
    <mergeCell ref="AG9:AG10"/>
    <mergeCell ref="AG11:AG12"/>
    <mergeCell ref="AG13:AG14"/>
    <mergeCell ref="AG15:AG16"/>
    <mergeCell ref="AG17:AG18"/>
    <mergeCell ref="C39:C40"/>
    <mergeCell ref="C41:C42"/>
    <mergeCell ref="C27:C28"/>
    <mergeCell ref="C13:C14"/>
    <mergeCell ref="C15:C16"/>
    <mergeCell ref="C17:C18"/>
    <mergeCell ref="C21:C22"/>
    <mergeCell ref="C23:C24"/>
    <mergeCell ref="C25:C26"/>
    <mergeCell ref="S21:S22"/>
    <mergeCell ref="S23:S24"/>
    <mergeCell ref="S25:S26"/>
    <mergeCell ref="S27:S28"/>
    <mergeCell ref="C53:C54"/>
    <mergeCell ref="S39:S40"/>
    <mergeCell ref="S41:S42"/>
    <mergeCell ref="S43:S44"/>
    <mergeCell ref="S45:S46"/>
    <mergeCell ref="S47:S48"/>
    <mergeCell ref="S49:S50"/>
    <mergeCell ref="S51:S52"/>
    <mergeCell ref="S53:S54"/>
    <mergeCell ref="C43:C44"/>
    <mergeCell ref="C45:C46"/>
    <mergeCell ref="C47:C48"/>
    <mergeCell ref="C49:C50"/>
    <mergeCell ref="C51:C52"/>
    <mergeCell ref="C67:C68"/>
    <mergeCell ref="C69:C70"/>
    <mergeCell ref="C71:C72"/>
    <mergeCell ref="S57:S58"/>
    <mergeCell ref="S59:S60"/>
    <mergeCell ref="S61:S62"/>
    <mergeCell ref="S63:S64"/>
    <mergeCell ref="S65:S66"/>
    <mergeCell ref="S67:S68"/>
    <mergeCell ref="S69:S70"/>
    <mergeCell ref="S71:S72"/>
    <mergeCell ref="C57:C58"/>
    <mergeCell ref="C59:C60"/>
    <mergeCell ref="C61:C62"/>
    <mergeCell ref="C63:C64"/>
    <mergeCell ref="C65:C66"/>
    <mergeCell ref="C85:C86"/>
    <mergeCell ref="C87:C88"/>
    <mergeCell ref="C89:C90"/>
    <mergeCell ref="C75:C76"/>
    <mergeCell ref="C77:C78"/>
    <mergeCell ref="C79:C80"/>
    <mergeCell ref="C81:C82"/>
    <mergeCell ref="C83:C8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71"/>
  <sheetViews>
    <sheetView workbookViewId="0"/>
  </sheetViews>
  <sheetFormatPr baseColWidth="10" defaultColWidth="9.140625" defaultRowHeight="15"/>
  <sheetData>
    <row r="1" spans="1:26">
      <c r="A1" s="34" t="s">
        <v>22</v>
      </c>
      <c r="B1" s="34" t="s">
        <v>12</v>
      </c>
      <c r="C1" s="34" t="s">
        <v>18</v>
      </c>
      <c r="D1" s="34" t="s">
        <v>19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>
      <c r="B2">
        <f>Rohdaten!D21-Rohdaten!D3</f>
        <v>3.6000000000000004E-2</v>
      </c>
      <c r="C2">
        <f>Rohdaten!E21-Rohdaten!E3</f>
        <v>0.183</v>
      </c>
      <c r="D2">
        <f>Rohdaten!F21-Rohdaten!F3</f>
        <v>5.3000000000000005E-2</v>
      </c>
      <c r="E2">
        <f>Rohdaten!G21-Rohdaten!G3</f>
        <v>5.1999999999999991E-2</v>
      </c>
      <c r="F2">
        <f>Rohdaten!H21-Rohdaten!H3</f>
        <v>6.7000000000000004E-2</v>
      </c>
      <c r="G2">
        <f>Rohdaten!I21-Rohdaten!I3</f>
        <v>6.0999999999999999E-2</v>
      </c>
      <c r="H2">
        <f>Rohdaten!J21-Rohdaten!J3</f>
        <v>0.121</v>
      </c>
      <c r="I2">
        <f>Rohdaten!K21-Rohdaten!K3</f>
        <v>0.22899999999999998</v>
      </c>
      <c r="J2">
        <f>Rohdaten!L21-Rohdaten!L3</f>
        <v>6.0999999999999999E-2</v>
      </c>
      <c r="K2">
        <f>Rohdaten!M21-Rohdaten!M3</f>
        <v>0.28300000000000003</v>
      </c>
      <c r="L2">
        <f>Rohdaten!N21-Rohdaten!N3</f>
        <v>0.80700000000000005</v>
      </c>
      <c r="M2">
        <f>Rohdaten!O21-Rohdaten!O3</f>
        <v>0.23399999999999999</v>
      </c>
      <c r="O2">
        <f>Rohdaten!T21-Rohdaten!D3</f>
        <v>3.8000000000000006E-2</v>
      </c>
      <c r="P2">
        <f>Rohdaten!U21-Rohdaten!E3</f>
        <v>0.22399999999999998</v>
      </c>
      <c r="Q2">
        <f>Rohdaten!V21-Rohdaten!F3</f>
        <v>5.599999999999998E-2</v>
      </c>
      <c r="R2">
        <f>Rohdaten!W21-Rohdaten!G3</f>
        <v>5.4999999999999993E-2</v>
      </c>
      <c r="S2">
        <f>Rohdaten!X21-Rohdaten!H3</f>
        <v>6.3E-2</v>
      </c>
      <c r="T2">
        <f>Rohdaten!Y21-Rohdaten!I3</f>
        <v>6.7000000000000004E-2</v>
      </c>
      <c r="U2">
        <f>Rohdaten!Z21-Rohdaten!J3</f>
        <v>0.124</v>
      </c>
      <c r="V2">
        <f>Rohdaten!AA21-Rohdaten!K3</f>
        <v>0.23899999999999999</v>
      </c>
      <c r="W2">
        <f>Rohdaten!AB21-Rohdaten!L3</f>
        <v>8.8999999999999996E-2</v>
      </c>
      <c r="X2">
        <f>Rohdaten!AC21-Rohdaten!M3</f>
        <v>0.315</v>
      </c>
      <c r="Y2">
        <f>Rohdaten!AD21-Rohdaten!N3</f>
        <v>0.77900000000000003</v>
      </c>
      <c r="Z2">
        <f>Rohdaten!AE21-Rohdaten!O3</f>
        <v>0.23299999999999998</v>
      </c>
    </row>
    <row r="3" spans="1:26">
      <c r="B3">
        <f>Rohdaten!D22-Rohdaten!D4</f>
        <v>1.8999999999999989E-2</v>
      </c>
      <c r="C3">
        <f>Rohdaten!E22-Rohdaten!E4</f>
        <v>4.1000000000000009E-2</v>
      </c>
      <c r="D3">
        <f>Rohdaten!F22-Rohdaten!F4</f>
        <v>3.4000000000000002E-2</v>
      </c>
      <c r="E3">
        <f>Rohdaten!G22-Rohdaten!G4</f>
        <v>3.3000000000000002E-2</v>
      </c>
      <c r="F3">
        <f>Rohdaten!H22-Rohdaten!H4</f>
        <v>4.6000000000000013E-2</v>
      </c>
      <c r="G3">
        <f>Rohdaten!I22-Rohdaten!I4</f>
        <v>3.1E-2</v>
      </c>
      <c r="H3">
        <f>Rohdaten!J22-Rohdaten!J4</f>
        <v>8.4999999999999992E-2</v>
      </c>
      <c r="I3">
        <f>Rohdaten!K22-Rohdaten!K4</f>
        <v>0.15</v>
      </c>
      <c r="J3">
        <f>Rohdaten!L22-Rohdaten!L4</f>
        <v>1.999999999999999E-2</v>
      </c>
      <c r="K3">
        <f>Rohdaten!M22-Rohdaten!M4</f>
        <v>0.16300000000000001</v>
      </c>
      <c r="L3">
        <f>Rohdaten!N22-Rohdaten!N4</f>
        <v>0.43400000000000005</v>
      </c>
      <c r="M3">
        <f>Rohdaten!O22-Rohdaten!O4</f>
        <v>0.16000000000000003</v>
      </c>
      <c r="O3">
        <f>Rohdaten!T22-Rohdaten!D4</f>
        <v>1.8999999999999989E-2</v>
      </c>
      <c r="P3">
        <f>Rohdaten!U22-Rohdaten!E4</f>
        <v>4.5000000000000012E-2</v>
      </c>
      <c r="Q3">
        <f>Rohdaten!V22-Rohdaten!F4</f>
        <v>3.7000000000000005E-2</v>
      </c>
      <c r="R3">
        <f>Rohdaten!W22-Rohdaten!G4</f>
        <v>3.5000000000000003E-2</v>
      </c>
      <c r="S3">
        <f>Rohdaten!X22-Rohdaten!H4</f>
        <v>4.300000000000001E-2</v>
      </c>
      <c r="T3">
        <f>Rohdaten!Y22-Rohdaten!I4</f>
        <v>3.5000000000000003E-2</v>
      </c>
      <c r="U3">
        <f>Rohdaten!Z22-Rohdaten!J4</f>
        <v>8.4999999999999992E-2</v>
      </c>
      <c r="V3">
        <f>Rohdaten!AA22-Rohdaten!K4</f>
        <v>0.16900000000000001</v>
      </c>
      <c r="W3">
        <f>Rohdaten!AB22-Rohdaten!L4</f>
        <v>4.0999999999999981E-2</v>
      </c>
      <c r="X3">
        <f>Rohdaten!AC22-Rohdaten!M4</f>
        <v>0.21099999999999999</v>
      </c>
      <c r="Y3">
        <f>Rohdaten!AD22-Rohdaten!N4</f>
        <v>0.47</v>
      </c>
      <c r="Z3">
        <f>Rohdaten!AE22-Rohdaten!O4</f>
        <v>0.15100000000000002</v>
      </c>
    </row>
    <row r="4" spans="1:26">
      <c r="B4">
        <f>Rohdaten!D23-Rohdaten!D5</f>
        <v>4.200000000000001E-2</v>
      </c>
      <c r="C4">
        <f>Rohdaten!E23-Rohdaten!E5</f>
        <v>0.33400000000000002</v>
      </c>
      <c r="D4">
        <f>Rohdaten!F23-Rohdaten!F5</f>
        <v>0.27</v>
      </c>
      <c r="E4">
        <f>Rohdaten!G23-Rohdaten!G5</f>
        <v>5.4999999999999993E-2</v>
      </c>
      <c r="F4">
        <f>Rohdaten!H23-Rohdaten!H5</f>
        <v>6.8000000000000005E-2</v>
      </c>
      <c r="G4">
        <f>Rohdaten!I23-Rohdaten!I5</f>
        <v>0.11100000000000002</v>
      </c>
      <c r="H4">
        <f>Rohdaten!J23-Rohdaten!J5</f>
        <v>0.129</v>
      </c>
      <c r="I4">
        <f>Rohdaten!K23-Rohdaten!K5</f>
        <v>0.45300000000000007</v>
      </c>
      <c r="J4">
        <f>Rohdaten!L23-Rohdaten!L5</f>
        <v>0.13200000000000001</v>
      </c>
      <c r="K4">
        <f>Rohdaten!M23-Rohdaten!M5</f>
        <v>9.2999999999999999E-2</v>
      </c>
      <c r="L4">
        <f>Rohdaten!N23-Rohdaten!N5</f>
        <v>0.38600000000000001</v>
      </c>
      <c r="M4">
        <f>Rohdaten!O23-Rohdaten!O5</f>
        <v>0.22799999999999998</v>
      </c>
      <c r="O4">
        <f>Rohdaten!T23-Rohdaten!D5</f>
        <v>4.200000000000001E-2</v>
      </c>
      <c r="P4">
        <f>Rohdaten!U23-Rohdaten!E5</f>
        <v>0.24</v>
      </c>
      <c r="Q4">
        <f>Rohdaten!V23-Rohdaten!F5</f>
        <v>0.21600000000000003</v>
      </c>
      <c r="R4">
        <f>Rohdaten!W23-Rohdaten!G5</f>
        <v>5.3999999999999992E-2</v>
      </c>
      <c r="S4">
        <f>Rohdaten!X23-Rohdaten!H5</f>
        <v>6.9000000000000006E-2</v>
      </c>
      <c r="T4">
        <f>Rohdaten!Y23-Rohdaten!I5</f>
        <v>0.127</v>
      </c>
      <c r="U4">
        <f>Rohdaten!Z23-Rohdaten!J5</f>
        <v>0.14700000000000002</v>
      </c>
      <c r="V4">
        <f>Rohdaten!AA23-Rohdaten!K5</f>
        <v>0.40900000000000003</v>
      </c>
      <c r="W4">
        <f>Rohdaten!AB23-Rohdaten!L5</f>
        <v>0.14300000000000002</v>
      </c>
      <c r="X4">
        <f>Rohdaten!AC23-Rohdaten!M5</f>
        <v>0.121</v>
      </c>
      <c r="Y4">
        <f>Rohdaten!AD23-Rohdaten!N5</f>
        <v>0.307</v>
      </c>
      <c r="Z4">
        <f>Rohdaten!AE23-Rohdaten!O5</f>
        <v>0.20100000000000001</v>
      </c>
    </row>
    <row r="5" spans="1:26">
      <c r="B5">
        <f>Rohdaten!D24-Rohdaten!D6</f>
        <v>2.3999999999999994E-2</v>
      </c>
      <c r="C5">
        <f>Rohdaten!E24-Rohdaten!E6</f>
        <v>0.22700000000000001</v>
      </c>
      <c r="D5">
        <f>Rohdaten!F24-Rohdaten!F6</f>
        <v>0.18800000000000003</v>
      </c>
      <c r="E5">
        <f>Rohdaten!G24-Rohdaten!G6</f>
        <v>2.6999999999999996E-2</v>
      </c>
      <c r="F5">
        <f>Rohdaten!H24-Rohdaten!H6</f>
        <v>4.300000000000001E-2</v>
      </c>
      <c r="G5">
        <f>Rohdaten!I24-Rohdaten!I6</f>
        <v>8.0999999999999989E-2</v>
      </c>
      <c r="H5">
        <f>Rohdaten!J24-Rohdaten!J6</f>
        <v>9.9000000000000005E-2</v>
      </c>
      <c r="I5">
        <f>Rohdaten!K24-Rohdaten!K6</f>
        <v>7.9999999999999988E-2</v>
      </c>
      <c r="J5">
        <f>Rohdaten!L24-Rohdaten!L6</f>
        <v>9.8000000000000004E-2</v>
      </c>
      <c r="K5">
        <f>Rohdaten!M24-Rohdaten!M6</f>
        <v>8.6999999999999994E-2</v>
      </c>
      <c r="L5">
        <f>Rohdaten!N24-Rohdaten!N6</f>
        <v>0.251</v>
      </c>
      <c r="M5">
        <f>Rohdaten!O24-Rohdaten!O6</f>
        <v>0.14799999999999999</v>
      </c>
      <c r="O5">
        <f>Rohdaten!T24-Rohdaten!D6</f>
        <v>2.4999999999999994E-2</v>
      </c>
      <c r="P5">
        <f>Rohdaten!U24-Rohdaten!E6</f>
        <v>0.14100000000000001</v>
      </c>
      <c r="Q5">
        <f>Rohdaten!V24-Rohdaten!F6</f>
        <v>0.14100000000000001</v>
      </c>
      <c r="R5">
        <f>Rohdaten!W24-Rohdaten!G6</f>
        <v>2.6999999999999996E-2</v>
      </c>
      <c r="S5">
        <f>Rohdaten!X24-Rohdaten!H6</f>
        <v>4.300000000000001E-2</v>
      </c>
      <c r="T5">
        <f>Rohdaten!Y24-Rohdaten!I6</f>
        <v>8.7999999999999995E-2</v>
      </c>
      <c r="U5">
        <f>Rohdaten!Z24-Rohdaten!J6</f>
        <v>0.10500000000000001</v>
      </c>
      <c r="V5">
        <f>Rohdaten!AA24-Rohdaten!K6</f>
        <v>9.1999999999999998E-2</v>
      </c>
      <c r="W5">
        <f>Rohdaten!AB24-Rohdaten!L6</f>
        <v>9.8000000000000004E-2</v>
      </c>
      <c r="X5">
        <f>Rohdaten!AC24-Rohdaten!M6</f>
        <v>9.9000000000000005E-2</v>
      </c>
      <c r="Y5">
        <f>Rohdaten!AD24-Rohdaten!N6</f>
        <v>0.19199999999999998</v>
      </c>
      <c r="Z5">
        <f>Rohdaten!AE24-Rohdaten!O6</f>
        <v>0.124</v>
      </c>
    </row>
    <row r="6" spans="1:26">
      <c r="B6">
        <f>Rohdaten!D25-Rohdaten!D7</f>
        <v>4.4000000000000011E-2</v>
      </c>
      <c r="C6">
        <f>Rohdaten!E25-Rohdaten!E7</f>
        <v>5.6999999999999995E-2</v>
      </c>
      <c r="D6">
        <f>Rohdaten!F25-Rohdaten!F7</f>
        <v>4.7000000000000014E-2</v>
      </c>
      <c r="E6">
        <f>Rohdaten!G25-Rohdaten!G7</f>
        <v>0.502</v>
      </c>
      <c r="F6">
        <f>Rohdaten!H25-Rohdaten!H7</f>
        <v>6.7000000000000004E-2</v>
      </c>
      <c r="G6">
        <f>Rohdaten!I25-Rohdaten!I7</f>
        <v>0.21999999999999997</v>
      </c>
      <c r="H6">
        <f>Rohdaten!J25-Rohdaten!J7</f>
        <v>0.73099999999999998</v>
      </c>
      <c r="I6">
        <f>Rohdaten!K25-Rohdaten!K7</f>
        <v>0.14200000000000002</v>
      </c>
      <c r="J6">
        <f>Rohdaten!L25-Rohdaten!L7</f>
        <v>0.78399999999999992</v>
      </c>
      <c r="K6">
        <f>Rohdaten!M25-Rohdaten!M7</f>
        <v>0.19500000000000001</v>
      </c>
      <c r="L6">
        <f>Rohdaten!N25-Rohdaten!N7</f>
        <v>0.114</v>
      </c>
      <c r="M6">
        <f>Rohdaten!O25-Rohdaten!O7</f>
        <v>0.15399999999999997</v>
      </c>
      <c r="O6">
        <f>Rohdaten!T25-Rohdaten!D7</f>
        <v>4.1000000000000009E-2</v>
      </c>
      <c r="P6">
        <f>Rohdaten!U25-Rohdaten!E7</f>
        <v>4.9999999999999989E-2</v>
      </c>
      <c r="Q6">
        <f>Rohdaten!V25-Rohdaten!F7</f>
        <v>4.6000000000000013E-2</v>
      </c>
      <c r="R6">
        <f>Rohdaten!W25-Rohdaten!G7</f>
        <v>0.501</v>
      </c>
      <c r="S6">
        <f>Rohdaten!X25-Rohdaten!H7</f>
        <v>6.7000000000000004E-2</v>
      </c>
      <c r="T6">
        <f>Rohdaten!Y25-Rohdaten!I7</f>
        <v>0.20900000000000002</v>
      </c>
      <c r="U6">
        <f>Rohdaten!Z25-Rohdaten!J7</f>
        <v>0.77700000000000002</v>
      </c>
      <c r="V6">
        <f>Rohdaten!AA25-Rohdaten!K7</f>
        <v>0.16499999999999998</v>
      </c>
      <c r="W6">
        <f>Rohdaten!AB25-Rohdaten!L7</f>
        <v>0.74299999999999999</v>
      </c>
      <c r="X6">
        <f>Rohdaten!AC25-Rohdaten!M7</f>
        <v>0.20800000000000002</v>
      </c>
      <c r="Y6">
        <f>Rohdaten!AD25-Rohdaten!N7</f>
        <v>0.113</v>
      </c>
      <c r="Z6">
        <f>Rohdaten!AE25-Rohdaten!O7</f>
        <v>0.14700000000000002</v>
      </c>
    </row>
    <row r="7" spans="1:26">
      <c r="B7">
        <f>Rohdaten!D26-Rohdaten!D8</f>
        <v>2.6999999999999996E-2</v>
      </c>
      <c r="C7">
        <f>Rohdaten!E26-Rohdaten!E8</f>
        <v>2.4000000000000007E-2</v>
      </c>
      <c r="D7">
        <f>Rohdaten!F26-Rohdaten!F8</f>
        <v>2.8999999999999998E-2</v>
      </c>
      <c r="E7">
        <f>Rohdaten!G26-Rohdaten!G8</f>
        <v>0.161</v>
      </c>
      <c r="F7">
        <f>Rohdaten!H26-Rohdaten!H8</f>
        <v>4.6000000000000013E-2</v>
      </c>
      <c r="G7">
        <f>Rohdaten!I26-Rohdaten!I8</f>
        <v>0.11899999999999999</v>
      </c>
      <c r="H7">
        <f>Rohdaten!J26-Rohdaten!J8</f>
        <v>0.41700000000000004</v>
      </c>
      <c r="I7">
        <f>Rohdaten!K26-Rohdaten!K8</f>
        <v>9.1999999999999998E-2</v>
      </c>
      <c r="J7">
        <f>Rohdaten!L26-Rohdaten!L8</f>
        <v>0.42400000000000004</v>
      </c>
      <c r="K7">
        <f>Rohdaten!M26-Rohdaten!M8</f>
        <v>0.13700000000000001</v>
      </c>
      <c r="L7">
        <f>Rohdaten!N26-Rohdaten!N8</f>
        <v>7.8000000000000014E-2</v>
      </c>
      <c r="M7">
        <f>Rohdaten!O26-Rohdaten!O8</f>
        <v>0.10400000000000001</v>
      </c>
      <c r="O7">
        <f>Rohdaten!T26-Rohdaten!D8</f>
        <v>2.4999999999999994E-2</v>
      </c>
      <c r="P7">
        <f>Rohdaten!U26-Rohdaten!E8</f>
        <v>2.0000000000000004E-2</v>
      </c>
      <c r="Q7">
        <f>Rohdaten!V26-Rohdaten!F8</f>
        <v>2.8999999999999998E-2</v>
      </c>
      <c r="R7">
        <f>Rohdaten!W26-Rohdaten!G8</f>
        <v>0.15</v>
      </c>
      <c r="S7">
        <f>Rohdaten!X26-Rohdaten!H8</f>
        <v>4.5000000000000012E-2</v>
      </c>
      <c r="T7">
        <f>Rohdaten!Y26-Rohdaten!I8</f>
        <v>0.10999999999999999</v>
      </c>
      <c r="U7">
        <f>Rohdaten!Z26-Rohdaten!J8</f>
        <v>0.44000000000000006</v>
      </c>
      <c r="V7">
        <f>Rohdaten!AA26-Rohdaten!K8</f>
        <v>0.09</v>
      </c>
      <c r="W7">
        <f>Rohdaten!AB26-Rohdaten!L8</f>
        <v>0.38800000000000001</v>
      </c>
      <c r="X7">
        <f>Rohdaten!AC26-Rohdaten!M8</f>
        <v>0.14400000000000002</v>
      </c>
      <c r="Y7">
        <f>Rohdaten!AD26-Rohdaten!N8</f>
        <v>7.9000000000000015E-2</v>
      </c>
      <c r="Z7">
        <f>Rohdaten!AE26-Rohdaten!O8</f>
        <v>9.5000000000000001E-2</v>
      </c>
    </row>
    <row r="8" spans="1:26">
      <c r="B8">
        <f>Rohdaten!D27-Rohdaten!D9</f>
        <v>4.7999999999999987E-2</v>
      </c>
      <c r="C8">
        <f>Rohdaten!E27-Rohdaten!E9</f>
        <v>4.0999999999999995E-2</v>
      </c>
      <c r="D8">
        <f>Rohdaten!F27-Rohdaten!F9</f>
        <v>4.200000000000001E-2</v>
      </c>
      <c r="E8">
        <f>Rohdaten!G27-Rohdaten!G9</f>
        <v>5.1999999999999991E-2</v>
      </c>
      <c r="F8">
        <f>Rohdaten!H27-Rohdaten!H9</f>
        <v>7.400000000000001E-2</v>
      </c>
      <c r="G8">
        <f>Rohdaten!I27-Rohdaten!I9</f>
        <v>0.11299999999999999</v>
      </c>
      <c r="H8">
        <f>Rohdaten!J27-Rohdaten!J9</f>
        <v>0.1</v>
      </c>
      <c r="I8">
        <f>Rohdaten!K27-Rohdaten!K9</f>
        <v>0.10900000000000001</v>
      </c>
      <c r="J8">
        <f>Rohdaten!L27-Rohdaten!L9</f>
        <v>9.1999999999999998E-2</v>
      </c>
      <c r="K8">
        <f>Rohdaten!M27-Rohdaten!M9</f>
        <v>0.10900000000000001</v>
      </c>
      <c r="L8">
        <f>Rohdaten!N27-Rohdaten!N9</f>
        <v>0.41300000000000003</v>
      </c>
      <c r="M8">
        <f>Rohdaten!O27-Rohdaten!O9</f>
        <v>0.14500000000000002</v>
      </c>
      <c r="O8">
        <f>Rohdaten!T27-Rohdaten!D9</f>
        <v>4.0000000000000008E-2</v>
      </c>
      <c r="P8">
        <f>Rohdaten!U27-Rohdaten!E9</f>
        <v>4.3999999999999997E-2</v>
      </c>
      <c r="Q8">
        <f>Rohdaten!V27-Rohdaten!F9</f>
        <v>4.300000000000001E-2</v>
      </c>
      <c r="R8">
        <f>Rohdaten!W27-Rohdaten!G9</f>
        <v>5.5999999999999994E-2</v>
      </c>
      <c r="S8">
        <f>Rohdaten!X27-Rohdaten!H9</f>
        <v>8.1000000000000016E-2</v>
      </c>
      <c r="T8">
        <f>Rohdaten!Y27-Rohdaten!I9</f>
        <v>0.11199999999999999</v>
      </c>
      <c r="U8">
        <f>Rohdaten!Z27-Rohdaten!J9</f>
        <v>0.11299999999999999</v>
      </c>
      <c r="V8">
        <f>Rohdaten!AA27-Rohdaten!K9</f>
        <v>0.13700000000000001</v>
      </c>
      <c r="W8">
        <f>Rohdaten!AB27-Rohdaten!L9</f>
        <v>0.11199999999999999</v>
      </c>
      <c r="X8">
        <f>Rohdaten!AC27-Rohdaten!M9</f>
        <v>0.11899999999999999</v>
      </c>
      <c r="Y8">
        <f>Rohdaten!AD27-Rohdaten!N9</f>
        <v>0.34200000000000003</v>
      </c>
      <c r="Z8">
        <f>Rohdaten!AE27-Rohdaten!O9</f>
        <v>0.13700000000000001</v>
      </c>
    </row>
    <row r="9" spans="1:26">
      <c r="B9">
        <f>Rohdaten!D28-Rohdaten!D10</f>
        <v>2.7999999999999997E-2</v>
      </c>
      <c r="C9">
        <f>Rohdaten!E28-Rohdaten!E10</f>
        <v>2.5000000000000008E-2</v>
      </c>
      <c r="D9">
        <f>Rohdaten!F28-Rohdaten!F10</f>
        <v>2.4999999999999994E-2</v>
      </c>
      <c r="E9">
        <f>Rohdaten!G28-Rohdaten!G10</f>
        <v>3.3000000000000002E-2</v>
      </c>
      <c r="F9">
        <f>Rohdaten!H28-Rohdaten!H10</f>
        <v>5.099999999999999E-2</v>
      </c>
      <c r="G9">
        <f>Rohdaten!I28-Rohdaten!I10</f>
        <v>7.5999999999999984E-2</v>
      </c>
      <c r="H9">
        <f>Rohdaten!J28-Rohdaten!J10</f>
        <v>7.2000000000000008E-2</v>
      </c>
      <c r="I9">
        <f>Rohdaten!K28-Rohdaten!K10</f>
        <v>8.199999999999999E-2</v>
      </c>
      <c r="J9">
        <f>Rohdaten!L28-Rohdaten!L10</f>
        <v>6.8000000000000005E-2</v>
      </c>
      <c r="K9">
        <f>Rohdaten!M28-Rohdaten!M10</f>
        <v>8.4999999999999992E-2</v>
      </c>
      <c r="L9">
        <f>Rohdaten!N28-Rohdaten!N10</f>
        <v>0.26</v>
      </c>
      <c r="M9">
        <f>Rohdaten!O28-Rohdaten!O10</f>
        <v>9.9000000000000005E-2</v>
      </c>
      <c r="O9">
        <f>Rohdaten!T28-Rohdaten!D10</f>
        <v>2.1999999999999992E-2</v>
      </c>
      <c r="P9">
        <f>Rohdaten!U28-Rohdaten!E10</f>
        <v>2.700000000000001E-2</v>
      </c>
      <c r="Q9">
        <f>Rohdaten!V28-Rohdaten!F10</f>
        <v>2.6999999999999996E-2</v>
      </c>
      <c r="R9">
        <f>Rohdaten!W28-Rohdaten!G10</f>
        <v>3.6000000000000004E-2</v>
      </c>
      <c r="S9">
        <f>Rohdaten!X28-Rohdaten!H10</f>
        <v>5.5999999999999994E-2</v>
      </c>
      <c r="T9">
        <f>Rohdaten!Y28-Rohdaten!I10</f>
        <v>7.8999999999999987E-2</v>
      </c>
      <c r="U9">
        <f>Rohdaten!Z28-Rohdaten!J10</f>
        <v>8.199999999999999E-2</v>
      </c>
      <c r="V9">
        <f>Rohdaten!AA28-Rohdaten!K10</f>
        <v>0.1</v>
      </c>
      <c r="W9">
        <f>Rohdaten!AB28-Rohdaten!L10</f>
        <v>8.0999999999999989E-2</v>
      </c>
      <c r="X9">
        <f>Rohdaten!AC28-Rohdaten!M10</f>
        <v>8.5999999999999993E-2</v>
      </c>
      <c r="Y9">
        <f>Rohdaten!AD28-Rohdaten!N10</f>
        <v>0.18999999999999997</v>
      </c>
      <c r="Z9">
        <f>Rohdaten!AE28-Rohdaten!O10</f>
        <v>9.1999999999999998E-2</v>
      </c>
    </row>
    <row r="10" spans="1:26">
      <c r="B10">
        <f>Rohdaten!D29-Rohdaten!D11</f>
        <v>0.15600000000000003</v>
      </c>
      <c r="C10">
        <f>Rohdaten!E29-Rohdaten!E11</f>
        <v>4.4999999999999998E-2</v>
      </c>
      <c r="D10">
        <f>Rohdaten!F29-Rohdaten!F11</f>
        <v>4.4000000000000011E-2</v>
      </c>
      <c r="E10">
        <f>Rohdaten!G29-Rohdaten!G11</f>
        <v>6.4000000000000001E-2</v>
      </c>
      <c r="F10">
        <f>Rohdaten!H29-Rohdaten!H11</f>
        <v>6.699999999999999E-2</v>
      </c>
      <c r="G10">
        <f>Rohdaten!I29-Rohdaten!I11</f>
        <v>7.9000000000000015E-2</v>
      </c>
      <c r="H10">
        <f>Rohdaten!J29-Rohdaten!J11</f>
        <v>7.3000000000000009E-2</v>
      </c>
      <c r="I10">
        <f>Rohdaten!K29-Rohdaten!K11</f>
        <v>9.5000000000000001E-2</v>
      </c>
      <c r="J10">
        <f>Rohdaten!L29-Rohdaten!L11</f>
        <v>0.16199999999999998</v>
      </c>
      <c r="K10">
        <f>Rohdaten!M29-Rohdaten!M11</f>
        <v>0.14700000000000002</v>
      </c>
      <c r="L10">
        <f>Rohdaten!N29-Rohdaten!N11</f>
        <v>0.107</v>
      </c>
      <c r="M10">
        <f>Rohdaten!O29-Rohdaten!O11</f>
        <v>0.11399999999999999</v>
      </c>
      <c r="O10">
        <f>Rohdaten!T29-Rohdaten!D11</f>
        <v>0.11100000000000002</v>
      </c>
      <c r="P10">
        <f>Rohdaten!U29-Rohdaten!E11</f>
        <v>4.4999999999999998E-2</v>
      </c>
      <c r="Q10">
        <f>Rohdaten!V29-Rohdaten!F11</f>
        <v>4.6000000000000013E-2</v>
      </c>
      <c r="R10">
        <f>Rohdaten!W29-Rohdaten!G11</f>
        <v>7.5999999999999984E-2</v>
      </c>
      <c r="S10">
        <f>Rohdaten!X29-Rohdaten!H11</f>
        <v>5.7999999999999982E-2</v>
      </c>
      <c r="T10">
        <f>Rohdaten!Y29-Rohdaten!I11</f>
        <v>8.2000000000000017E-2</v>
      </c>
      <c r="U10">
        <f>Rohdaten!Z29-Rohdaten!J11</f>
        <v>8.7999999999999995E-2</v>
      </c>
      <c r="V10">
        <f>Rohdaten!AA29-Rohdaten!K11</f>
        <v>0.10300000000000001</v>
      </c>
      <c r="W10">
        <f>Rohdaten!AB29-Rohdaten!L11</f>
        <v>0.17599999999999999</v>
      </c>
      <c r="X10">
        <f>Rohdaten!AC29-Rohdaten!M11</f>
        <v>0.19900000000000001</v>
      </c>
      <c r="Y10">
        <f>Rohdaten!AD29-Rohdaten!N11</f>
        <v>0.109</v>
      </c>
      <c r="Z10">
        <f>Rohdaten!AE29-Rohdaten!O11</f>
        <v>0.10900000000000001</v>
      </c>
    </row>
    <row r="11" spans="1:26">
      <c r="B11">
        <f>Rohdaten!D30-Rohdaten!D12</f>
        <v>0.10600000000000001</v>
      </c>
      <c r="C11">
        <f>Rohdaten!E30-Rohdaten!E12</f>
        <v>2.8000000000000011E-2</v>
      </c>
      <c r="D11">
        <f>Rohdaten!F30-Rohdaten!F12</f>
        <v>2.5999999999999995E-2</v>
      </c>
      <c r="E11">
        <f>Rohdaten!G30-Rohdaten!G12</f>
        <v>3.1E-2</v>
      </c>
      <c r="F11">
        <f>Rohdaten!H30-Rohdaten!H12</f>
        <v>4.300000000000001E-2</v>
      </c>
      <c r="G11">
        <f>Rohdaten!I30-Rohdaten!I12</f>
        <v>5.3999999999999992E-2</v>
      </c>
      <c r="H11">
        <f>Rohdaten!J30-Rohdaten!J12</f>
        <v>4.9999999999999989E-2</v>
      </c>
      <c r="I11">
        <f>Rohdaten!K30-Rohdaten!K12</f>
        <v>6.8000000000000005E-2</v>
      </c>
      <c r="J11">
        <f>Rohdaten!L30-Rohdaten!L12</f>
        <v>0.123</v>
      </c>
      <c r="K11">
        <f>Rohdaten!M30-Rohdaten!M12</f>
        <v>9.7000000000000003E-2</v>
      </c>
      <c r="L11">
        <f>Rohdaten!N30-Rohdaten!N12</f>
        <v>7.6000000000000012E-2</v>
      </c>
      <c r="M11">
        <f>Rohdaten!O30-Rohdaten!O12</f>
        <v>7.7999999999999986E-2</v>
      </c>
      <c r="O11">
        <f>Rohdaten!T30-Rohdaten!D12</f>
        <v>8.0999999999999989E-2</v>
      </c>
      <c r="P11">
        <f>Rohdaten!U30-Rohdaten!E12</f>
        <v>2.8000000000000011E-2</v>
      </c>
      <c r="Q11">
        <f>Rohdaten!V30-Rohdaten!F12</f>
        <v>2.8999999999999998E-2</v>
      </c>
      <c r="R11">
        <f>Rohdaten!W30-Rohdaten!G12</f>
        <v>3.9000000000000007E-2</v>
      </c>
      <c r="S11">
        <f>Rohdaten!X30-Rohdaten!H12</f>
        <v>3.7000000000000005E-2</v>
      </c>
      <c r="T11">
        <f>Rohdaten!Y30-Rohdaten!I12</f>
        <v>5.6999999999999995E-2</v>
      </c>
      <c r="U11">
        <f>Rohdaten!Z30-Rohdaten!J12</f>
        <v>6.3E-2</v>
      </c>
      <c r="V11">
        <f>Rohdaten!AA30-Rohdaten!K12</f>
        <v>7.400000000000001E-2</v>
      </c>
      <c r="W11">
        <f>Rohdaten!AB30-Rohdaten!L12</f>
        <v>0.11000000000000001</v>
      </c>
      <c r="X11">
        <f>Rohdaten!AC30-Rohdaten!M12</f>
        <v>0.13</v>
      </c>
      <c r="Y11">
        <f>Rohdaten!AD30-Rohdaten!N12</f>
        <v>7.8000000000000014E-2</v>
      </c>
      <c r="Z11">
        <f>Rohdaten!AE30-Rohdaten!O12</f>
        <v>7.5000000000000011E-2</v>
      </c>
    </row>
    <row r="12" spans="1:26">
      <c r="B12">
        <f>Rohdaten!D31-Rohdaten!D13</f>
        <v>3.4000000000000002E-2</v>
      </c>
      <c r="C12">
        <f>Rohdaten!E31-Rohdaten!E13</f>
        <v>3.7999999999999992E-2</v>
      </c>
      <c r="D12">
        <f>Rohdaten!F31-Rohdaten!F13</f>
        <v>3.8000000000000006E-2</v>
      </c>
      <c r="E12">
        <f>Rohdaten!G31-Rohdaten!G13</f>
        <v>8.4000000000000005E-2</v>
      </c>
      <c r="F12">
        <f>Rohdaten!H31-Rohdaten!H13</f>
        <v>4.8000000000000015E-2</v>
      </c>
      <c r="G12">
        <f>Rohdaten!I31-Rohdaten!I13</f>
        <v>5.1999999999999991E-2</v>
      </c>
      <c r="H12">
        <f>Rohdaten!J31-Rohdaten!J13</f>
        <v>7.8000000000000014E-2</v>
      </c>
      <c r="I12">
        <f>Rohdaten!K31-Rohdaten!K13</f>
        <v>7.6000000000000012E-2</v>
      </c>
      <c r="J12">
        <f>Rohdaten!L31-Rohdaten!L13</f>
        <v>5.2999999999999992E-2</v>
      </c>
      <c r="K12">
        <f>Rohdaten!M31-Rohdaten!M13</f>
        <v>5.1000000000000004E-2</v>
      </c>
      <c r="L12">
        <f>Rohdaten!N31-Rohdaten!N13</f>
        <v>7.8E-2</v>
      </c>
      <c r="M12">
        <f>Rohdaten!O31-Rohdaten!O13</f>
        <v>9.4E-2</v>
      </c>
      <c r="O12">
        <f>Rohdaten!T31-Rohdaten!D13</f>
        <v>0.03</v>
      </c>
      <c r="P12">
        <f>Rohdaten!U31-Rohdaten!E13</f>
        <v>4.2999999999999997E-2</v>
      </c>
      <c r="Q12">
        <f>Rohdaten!V31-Rohdaten!F13</f>
        <v>4.0000000000000008E-2</v>
      </c>
      <c r="R12">
        <f>Rohdaten!W31-Rohdaten!G13</f>
        <v>4.3999999999999997E-2</v>
      </c>
      <c r="S12">
        <f>Rohdaten!X31-Rohdaten!H13</f>
        <v>4.5000000000000012E-2</v>
      </c>
      <c r="T12">
        <f>Rohdaten!Y31-Rohdaten!I13</f>
        <v>5.7999999999999996E-2</v>
      </c>
      <c r="U12">
        <f>Rohdaten!Z31-Rohdaten!J13</f>
        <v>5.5999999999999994E-2</v>
      </c>
      <c r="V12">
        <f>Rohdaten!AA31-Rohdaten!K13</f>
        <v>8.0999999999999989E-2</v>
      </c>
      <c r="W12">
        <f>Rohdaten!AB31-Rohdaten!L13</f>
        <v>5.8999999999999997E-2</v>
      </c>
      <c r="X12">
        <f>Rohdaten!AC31-Rohdaten!M13</f>
        <v>6.2999999999999987E-2</v>
      </c>
      <c r="Y12">
        <f>Rohdaten!AD31-Rohdaten!N13</f>
        <v>8.2000000000000003E-2</v>
      </c>
      <c r="Z12">
        <f>Rohdaten!AE31-Rohdaten!O13</f>
        <v>9.7000000000000003E-2</v>
      </c>
    </row>
    <row r="13" spans="1:26">
      <c r="B13">
        <f>Rohdaten!D32-Rohdaten!D14</f>
        <v>1.8000000000000002E-2</v>
      </c>
      <c r="C13">
        <f>Rohdaten!E32-Rohdaten!E14</f>
        <v>2.3000000000000007E-2</v>
      </c>
      <c r="D13">
        <f>Rohdaten!F32-Rohdaten!F14</f>
        <v>2.1999999999999992E-2</v>
      </c>
      <c r="E13">
        <f>Rohdaten!G32-Rohdaten!G14</f>
        <v>2.6999999999999996E-2</v>
      </c>
      <c r="F13">
        <f>Rohdaten!H32-Rohdaten!H14</f>
        <v>3.1E-2</v>
      </c>
      <c r="G13">
        <f>Rohdaten!I32-Rohdaten!I14</f>
        <v>3.3000000000000002E-2</v>
      </c>
      <c r="H13">
        <f>Rohdaten!J32-Rohdaten!J14</f>
        <v>4.9000000000000016E-2</v>
      </c>
      <c r="I13">
        <f>Rohdaten!K32-Rohdaten!K14</f>
        <v>5.099999999999999E-2</v>
      </c>
      <c r="J13">
        <f>Rohdaten!L32-Rohdaten!L14</f>
        <v>3.4000000000000002E-2</v>
      </c>
      <c r="K13">
        <f>Rohdaten!M32-Rohdaten!M14</f>
        <v>2.8999999999999998E-2</v>
      </c>
      <c r="L13">
        <f>Rohdaten!N32-Rohdaten!N14</f>
        <v>5.3999999999999992E-2</v>
      </c>
      <c r="M13">
        <f>Rohdaten!O32-Rohdaten!O14</f>
        <v>6.5000000000000002E-2</v>
      </c>
      <c r="O13">
        <f>Rohdaten!T32-Rohdaten!D14</f>
        <v>1.6E-2</v>
      </c>
      <c r="P13">
        <f>Rohdaten!U32-Rohdaten!E14</f>
        <v>2.8000000000000011E-2</v>
      </c>
      <c r="Q13">
        <f>Rohdaten!V32-Rohdaten!F14</f>
        <v>2.4999999999999994E-2</v>
      </c>
      <c r="R13">
        <f>Rohdaten!W32-Rohdaten!G14</f>
        <v>2.6999999999999996E-2</v>
      </c>
      <c r="S13">
        <f>Rohdaten!X32-Rohdaten!H14</f>
        <v>0.03</v>
      </c>
      <c r="T13">
        <f>Rohdaten!Y32-Rohdaten!I14</f>
        <v>3.8000000000000006E-2</v>
      </c>
      <c r="U13">
        <f>Rohdaten!Z32-Rohdaten!J14</f>
        <v>3.9000000000000007E-2</v>
      </c>
      <c r="V13">
        <f>Rohdaten!AA32-Rohdaten!K14</f>
        <v>5.4999999999999993E-2</v>
      </c>
      <c r="W13">
        <f>Rohdaten!AB32-Rohdaten!L14</f>
        <v>4.1000000000000009E-2</v>
      </c>
      <c r="X13">
        <f>Rohdaten!AC32-Rohdaten!M14</f>
        <v>4.0000000000000008E-2</v>
      </c>
      <c r="Y13">
        <f>Rohdaten!AD32-Rohdaten!N14</f>
        <v>5.6999999999999995E-2</v>
      </c>
      <c r="Z13">
        <f>Rohdaten!AE32-Rohdaten!O14</f>
        <v>6.6000000000000003E-2</v>
      </c>
    </row>
    <row r="14" spans="1:26">
      <c r="B14">
        <f>Rohdaten!D33-Rohdaten!D15</f>
        <v>3.9000000000000007E-2</v>
      </c>
      <c r="C14">
        <f>Rohdaten!E33-Rohdaten!E15</f>
        <v>3.7999999999999992E-2</v>
      </c>
      <c r="D14">
        <f>Rohdaten!F33-Rohdaten!F15</f>
        <v>2.4000000000000007E-2</v>
      </c>
      <c r="E14">
        <f>Rohdaten!G33-Rohdaten!G15</f>
        <v>3.4000000000000002E-2</v>
      </c>
      <c r="F14">
        <f>Rohdaten!H33-Rohdaten!H15</f>
        <v>5.2000000000000005E-2</v>
      </c>
      <c r="G14">
        <f>Rohdaten!I33-Rohdaten!I15</f>
        <v>5.6999999999999995E-2</v>
      </c>
      <c r="H14">
        <f>Rohdaten!J33-Rohdaten!J15</f>
        <v>5.3999999999999992E-2</v>
      </c>
      <c r="I14">
        <f>Rohdaten!K33-Rohdaten!K15</f>
        <v>4.8000000000000015E-2</v>
      </c>
      <c r="J14">
        <f>Rohdaten!L33-Rohdaten!L15</f>
        <v>5.5999999999999994E-2</v>
      </c>
      <c r="K14">
        <f>Rohdaten!M33-Rohdaten!M15</f>
        <v>6.7999999999999991E-2</v>
      </c>
      <c r="L14">
        <f>Rohdaten!N33-Rohdaten!N15</f>
        <v>4.9000000000000002E-2</v>
      </c>
      <c r="M14">
        <f>Rohdaten!O33-Rohdaten!O15</f>
        <v>5.1000000000000018E-2</v>
      </c>
      <c r="O14">
        <f>Rohdaten!T33-Rohdaten!D15</f>
        <v>3.8000000000000006E-2</v>
      </c>
      <c r="P14">
        <f>Rohdaten!U33-Rohdaten!E15</f>
        <v>3.7999999999999992E-2</v>
      </c>
      <c r="Q14">
        <f>Rohdaten!V33-Rohdaten!F15</f>
        <v>2.4000000000000007E-2</v>
      </c>
      <c r="R14">
        <f>Rohdaten!W33-Rohdaten!G15</f>
        <v>3.6000000000000004E-2</v>
      </c>
      <c r="S14">
        <f>Rohdaten!X33-Rohdaten!H15</f>
        <v>5.9000000000000011E-2</v>
      </c>
      <c r="T14">
        <f>Rohdaten!Y33-Rohdaten!I15</f>
        <v>5.3999999999999992E-2</v>
      </c>
      <c r="U14">
        <f>Rohdaten!Z33-Rohdaten!J15</f>
        <v>4.9999999999999989E-2</v>
      </c>
      <c r="V14">
        <f>Rohdaten!AA33-Rohdaten!K15</f>
        <v>5.1999999999999991E-2</v>
      </c>
      <c r="W14">
        <f>Rohdaten!AB33-Rohdaten!L15</f>
        <v>6.2E-2</v>
      </c>
      <c r="X14">
        <f>Rohdaten!AC33-Rohdaten!M15</f>
        <v>0.11999999999999998</v>
      </c>
      <c r="Y14">
        <f>Rohdaten!AD33-Rohdaten!N15</f>
        <v>0.05</v>
      </c>
      <c r="Z14">
        <f>Rohdaten!AE33-Rohdaten!O15</f>
        <v>5.5999999999999994E-2</v>
      </c>
    </row>
    <row r="15" spans="1:26">
      <c r="B15">
        <f>Rohdaten!D34-Rohdaten!D16</f>
        <v>2.1000000000000005E-2</v>
      </c>
      <c r="C15">
        <f>Rohdaten!E34-Rohdaten!E16</f>
        <v>2.3000000000000007E-2</v>
      </c>
      <c r="D15">
        <f>Rohdaten!F34-Rohdaten!F16</f>
        <v>9.000000000000008E-3</v>
      </c>
      <c r="E15">
        <f>Rohdaten!G34-Rohdaten!G16</f>
        <v>1.7000000000000001E-2</v>
      </c>
      <c r="F15">
        <f>Rohdaten!H34-Rohdaten!H16</f>
        <v>3.6000000000000004E-2</v>
      </c>
      <c r="G15">
        <f>Rohdaten!I34-Rohdaten!I16</f>
        <v>3.9000000000000007E-2</v>
      </c>
      <c r="H15">
        <f>Rohdaten!J34-Rohdaten!J16</f>
        <v>3.7000000000000005E-2</v>
      </c>
      <c r="I15">
        <f>Rohdaten!K34-Rohdaten!K16</f>
        <v>0.03</v>
      </c>
      <c r="J15">
        <f>Rohdaten!L34-Rohdaten!L16</f>
        <v>3.8000000000000006E-2</v>
      </c>
      <c r="K15">
        <f>Rohdaten!M34-Rohdaten!M16</f>
        <v>4.8000000000000015E-2</v>
      </c>
      <c r="L15">
        <f>Rohdaten!N34-Rohdaten!N16</f>
        <v>3.2000000000000001E-2</v>
      </c>
      <c r="M15">
        <f>Rohdaten!O34-Rohdaten!O16</f>
        <v>3.1E-2</v>
      </c>
      <c r="O15">
        <f>Rohdaten!T34-Rohdaten!D16</f>
        <v>2.1000000000000005E-2</v>
      </c>
      <c r="P15">
        <f>Rohdaten!U34-Rohdaten!E16</f>
        <v>2.4000000000000007E-2</v>
      </c>
      <c r="Q15">
        <f>Rohdaten!V34-Rohdaten!F16</f>
        <v>1.0000000000000009E-2</v>
      </c>
      <c r="R15">
        <f>Rohdaten!W34-Rohdaten!G16</f>
        <v>1.8000000000000002E-2</v>
      </c>
      <c r="S15">
        <f>Rohdaten!X34-Rohdaten!H16</f>
        <v>4.200000000000001E-2</v>
      </c>
      <c r="T15">
        <f>Rohdaten!Y34-Rohdaten!I16</f>
        <v>3.6000000000000004E-2</v>
      </c>
      <c r="U15">
        <f>Rohdaten!Z34-Rohdaten!J16</f>
        <v>3.4000000000000002E-2</v>
      </c>
      <c r="V15">
        <f>Rohdaten!AA34-Rohdaten!K16</f>
        <v>3.4000000000000002E-2</v>
      </c>
      <c r="W15">
        <f>Rohdaten!AB34-Rohdaten!L16</f>
        <v>4.5000000000000012E-2</v>
      </c>
      <c r="X15">
        <f>Rohdaten!AC34-Rohdaten!M16</f>
        <v>8.0000000000000016E-2</v>
      </c>
      <c r="Y15">
        <f>Rohdaten!AD34-Rohdaten!N16</f>
        <v>3.5000000000000003E-2</v>
      </c>
      <c r="Z15">
        <f>Rohdaten!AE34-Rohdaten!O16</f>
        <v>3.6000000000000004E-2</v>
      </c>
    </row>
    <row r="16" spans="1:26">
      <c r="B16">
        <f>Rohdaten!D35-Rohdaten!D17</f>
        <v>4.2999999999999997E-2</v>
      </c>
      <c r="C16">
        <f>Rohdaten!E35-Rohdaten!E17</f>
        <v>3.8999999999999993E-2</v>
      </c>
      <c r="D16">
        <f>Rohdaten!F35-Rohdaten!F17</f>
        <v>4.8000000000000015E-2</v>
      </c>
      <c r="E16">
        <f>Rohdaten!G35-Rohdaten!G17</f>
        <v>3.9000000000000007E-2</v>
      </c>
      <c r="F16">
        <f>Rohdaten!H35-Rohdaten!H17</f>
        <v>0.16599999999999998</v>
      </c>
      <c r="G16">
        <f>Rohdaten!I35-Rohdaten!I17</f>
        <v>0.255</v>
      </c>
      <c r="H16">
        <f>Rohdaten!J35-Rohdaten!J17</f>
        <v>5.4999999999999993E-2</v>
      </c>
      <c r="I16">
        <f>Rohdaten!K35-Rohdaten!K17</f>
        <v>5.7999999999999996E-2</v>
      </c>
      <c r="J16">
        <f>Rohdaten!L35-Rohdaten!L17</f>
        <v>5.099999999999999E-2</v>
      </c>
      <c r="K16">
        <f>Rohdaten!M35-Rohdaten!M17</f>
        <v>1.6000000000000014E-2</v>
      </c>
      <c r="L16">
        <f>Rohdaten!N35-Rohdaten!N17</f>
        <v>4.6000000000000013E-2</v>
      </c>
      <c r="M16">
        <f>Rohdaten!O35-Rohdaten!O17</f>
        <v>4.200000000000001E-2</v>
      </c>
      <c r="O16">
        <f>Rohdaten!T35-Rohdaten!D17</f>
        <v>4.0999999999999995E-2</v>
      </c>
      <c r="P16">
        <f>Rohdaten!U35-Rohdaten!E17</f>
        <v>3.8999999999999993E-2</v>
      </c>
      <c r="Q16">
        <f>Rohdaten!V35-Rohdaten!F17</f>
        <v>4.5000000000000012E-2</v>
      </c>
      <c r="R16">
        <f>Rohdaten!W35-Rohdaten!G17</f>
        <v>3.4000000000000002E-2</v>
      </c>
      <c r="S16">
        <f>Rohdaten!X35-Rohdaten!H17</f>
        <v>0.17399999999999999</v>
      </c>
      <c r="T16">
        <f>Rohdaten!Y35-Rohdaten!I17</f>
        <v>0.25900000000000001</v>
      </c>
      <c r="U16">
        <f>Rohdaten!Z35-Rohdaten!J17</f>
        <v>5.099999999999999E-2</v>
      </c>
      <c r="V16">
        <f>Rohdaten!AA35-Rohdaten!K17</f>
        <v>0.06</v>
      </c>
      <c r="W16">
        <f>Rohdaten!AB35-Rohdaten!L17</f>
        <v>5.2999999999999992E-2</v>
      </c>
      <c r="X16">
        <f>Rohdaten!AC35-Rohdaten!M17</f>
        <v>1.8000000000000016E-2</v>
      </c>
      <c r="Y16">
        <f>Rohdaten!AD35-Rohdaten!N17</f>
        <v>3.9000000000000007E-2</v>
      </c>
      <c r="Z16">
        <f>Rohdaten!AE35-Rohdaten!O17</f>
        <v>4.5000000000000012E-2</v>
      </c>
    </row>
    <row r="17" spans="1:26">
      <c r="B17">
        <f>Rohdaten!D36-Rohdaten!D18</f>
        <v>2.6000000000000009E-2</v>
      </c>
      <c r="C17">
        <f>Rohdaten!E36-Rohdaten!E18</f>
        <v>2.4000000000000007E-2</v>
      </c>
      <c r="D17">
        <f>Rohdaten!F36-Rohdaten!F18</f>
        <v>2.8999999999999998E-2</v>
      </c>
      <c r="E17">
        <f>Rohdaten!G36-Rohdaten!G18</f>
        <v>2.1000000000000005E-2</v>
      </c>
      <c r="F17">
        <f>Rohdaten!H36-Rohdaten!H18</f>
        <v>8.5999999999999993E-2</v>
      </c>
      <c r="G17">
        <f>Rohdaten!I36-Rohdaten!I18</f>
        <v>3.2000000000000001E-2</v>
      </c>
      <c r="H17">
        <f>Rohdaten!J36-Rohdaten!J18</f>
        <v>2.0000000000000018E-3</v>
      </c>
      <c r="I17">
        <f>Rohdaten!K36-Rohdaten!K18</f>
        <v>3.3000000000000002E-2</v>
      </c>
      <c r="J17">
        <f>Rohdaten!L36-Rohdaten!L18</f>
        <v>2.6999999999999996E-2</v>
      </c>
      <c r="K17">
        <f>Rohdaten!M36-Rohdaten!M18</f>
        <v>-4.9999999999999906E-3</v>
      </c>
      <c r="L17">
        <f>Rohdaten!N36-Rohdaten!N18</f>
        <v>9.999999999999995E-3</v>
      </c>
      <c r="M17">
        <f>Rohdaten!O36-Rohdaten!O18</f>
        <v>2.5000000000000008E-2</v>
      </c>
      <c r="O17">
        <f>Rohdaten!T36-Rohdaten!D18</f>
        <v>2.4000000000000007E-2</v>
      </c>
      <c r="P17">
        <f>Rohdaten!U36-Rohdaten!E18</f>
        <v>2.4000000000000007E-2</v>
      </c>
      <c r="Q17">
        <f>Rohdaten!V36-Rohdaten!F18</f>
        <v>2.700000000000001E-2</v>
      </c>
      <c r="R17">
        <f>Rohdaten!W36-Rohdaten!G18</f>
        <v>1.7000000000000001E-2</v>
      </c>
      <c r="S17">
        <f>Rohdaten!X36-Rohdaten!H18</f>
        <v>8.8999999999999996E-2</v>
      </c>
      <c r="T17">
        <f>Rohdaten!Y36-Rohdaten!I18</f>
        <v>3.5000000000000003E-2</v>
      </c>
      <c r="U17">
        <f>Rohdaten!Z36-Rohdaten!J18</f>
        <v>-1.0000000000000009E-3</v>
      </c>
      <c r="V17">
        <f>Rohdaten!AA36-Rohdaten!K18</f>
        <v>3.6000000000000004E-2</v>
      </c>
      <c r="W17">
        <f>Rohdaten!AB36-Rohdaten!L18</f>
        <v>2.7999999999999997E-2</v>
      </c>
      <c r="X17">
        <f>Rohdaten!AC36-Rohdaten!M18</f>
        <v>-3.9999999999999897E-3</v>
      </c>
      <c r="Y17">
        <f>Rohdaten!AD36-Rohdaten!N18</f>
        <v>8.9999999999999941E-3</v>
      </c>
      <c r="Z17">
        <f>Rohdaten!AE36-Rohdaten!O18</f>
        <v>2.8999999999999998E-2</v>
      </c>
    </row>
    <row r="19" spans="1:26">
      <c r="A19" s="35"/>
      <c r="B19" s="35" t="s">
        <v>19</v>
      </c>
      <c r="C19" s="35" t="s">
        <v>18</v>
      </c>
      <c r="D19" s="35" t="s">
        <v>16</v>
      </c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>
      <c r="B20">
        <f>Rohdaten!D39-Rohdaten!D21</f>
        <v>-1.100000000000001E-2</v>
      </c>
      <c r="C20">
        <f>Rohdaten!E39-Rohdaten!E21</f>
        <v>3.1000000000000028E-2</v>
      </c>
      <c r="D20">
        <f>Rohdaten!F39-Rohdaten!F21</f>
        <v>-8.0000000000000071E-3</v>
      </c>
      <c r="E20">
        <f>Rohdaten!G39-Rohdaten!G21</f>
        <v>-1.0999999999999982E-2</v>
      </c>
      <c r="F20">
        <f>Rohdaten!H39-Rohdaten!H21</f>
        <v>-1.2000000000000011E-2</v>
      </c>
      <c r="G20">
        <f>Rohdaten!I39-Rohdaten!I21</f>
        <v>-1.1999999999999983E-2</v>
      </c>
      <c r="H20">
        <f>Rohdaten!J39-Rohdaten!J21</f>
        <v>-1.4999999999999986E-2</v>
      </c>
      <c r="I20">
        <f>Rohdaten!K39-Rohdaten!K21</f>
        <v>0.15600000000000003</v>
      </c>
      <c r="J20">
        <f>Rohdaten!L39-Rohdaten!L21</f>
        <v>-1.5000000000000013E-2</v>
      </c>
      <c r="K20">
        <f>Rohdaten!M39-Rohdaten!M21</f>
        <v>0.10999999999999999</v>
      </c>
      <c r="L20">
        <f>Rohdaten!N39-Rohdaten!N21</f>
        <v>4.2999999999999927E-2</v>
      </c>
      <c r="M20">
        <f>Rohdaten!O39-Rohdaten!O21</f>
        <v>0.17100000000000004</v>
      </c>
      <c r="O20">
        <f>Rohdaten!T39-Rohdaten!T21</f>
        <v>-1.100000000000001E-2</v>
      </c>
      <c r="P20">
        <f>Rohdaten!U39-Rohdaten!U21</f>
        <v>3.0000000000000027E-2</v>
      </c>
      <c r="Q20">
        <f>Rohdaten!V39-Rohdaten!V21</f>
        <v>-8.9999999999999802E-3</v>
      </c>
      <c r="R20">
        <f>Rohdaten!W39-Rohdaten!W21</f>
        <v>1.0049999999999999</v>
      </c>
      <c r="S20">
        <f>Rohdaten!X39-Rohdaten!X21</f>
        <v>-1.0999999999999982E-2</v>
      </c>
      <c r="T20">
        <f>Rohdaten!Y39-Rohdaten!Y21</f>
        <v>0.15300000000000002</v>
      </c>
      <c r="U20">
        <f>Rohdaten!Z39-Rohdaten!Z21</f>
        <v>-1.3999999999999985E-2</v>
      </c>
      <c r="V20">
        <f>Rohdaten!AA39-Rohdaten!AA21</f>
        <v>0.19300000000000006</v>
      </c>
      <c r="W20">
        <f>Rohdaten!AB39-Rohdaten!AB21</f>
        <v>-6.0000000000000053E-3</v>
      </c>
      <c r="X20">
        <f>Rohdaten!AC39-Rohdaten!AC21</f>
        <v>0.17899999999999999</v>
      </c>
      <c r="Y20">
        <f>Rohdaten!AD39-Rohdaten!AD21</f>
        <v>7.6999999999999957E-2</v>
      </c>
      <c r="Z20">
        <f>Rohdaten!AE39-Rohdaten!AE21</f>
        <v>0.17200000000000004</v>
      </c>
    </row>
    <row r="21" spans="1:26">
      <c r="B21">
        <f>Rohdaten!D40-Rohdaten!D22</f>
        <v>-9.999999999999995E-3</v>
      </c>
      <c r="C21">
        <f>Rohdaten!E40-Rohdaten!E22</f>
        <v>0</v>
      </c>
      <c r="D21">
        <f>Rohdaten!F40-Rohdaten!F22</f>
        <v>-7.9999999999999932E-3</v>
      </c>
      <c r="E21">
        <f>Rohdaten!G40-Rohdaten!G22</f>
        <v>-8.9999999999999941E-3</v>
      </c>
      <c r="F21">
        <f>Rohdaten!H40-Rohdaten!H22</f>
        <v>-1.100000000000001E-2</v>
      </c>
      <c r="G21">
        <f>Rohdaten!I40-Rohdaten!I22</f>
        <v>-1.4999999999999999E-2</v>
      </c>
      <c r="H21">
        <f>Rohdaten!J40-Rohdaten!J22</f>
        <v>-1.4999999999999986E-2</v>
      </c>
      <c r="I21">
        <f>Rohdaten!K40-Rohdaten!K22</f>
        <v>7.9000000000000015E-2</v>
      </c>
      <c r="J21">
        <f>Rohdaten!L40-Rohdaten!L22</f>
        <v>-9.000000000000008E-3</v>
      </c>
      <c r="K21">
        <f>Rohdaten!M40-Rohdaten!M22</f>
        <v>8.9999999999999969E-2</v>
      </c>
      <c r="L21">
        <f>Rohdaten!N40-Rohdaten!N22</f>
        <v>6.899999999999995E-2</v>
      </c>
      <c r="M21">
        <f>Rohdaten!O40-Rohdaten!O22</f>
        <v>0.11099999999999999</v>
      </c>
      <c r="O21">
        <f>Rohdaten!T40-Rohdaten!T22</f>
        <v>-8.9999999999999941E-3</v>
      </c>
      <c r="P21">
        <f>Rohdaten!U40-Rohdaten!U22</f>
        <v>-1.0000000000000009E-3</v>
      </c>
      <c r="Q21">
        <f>Rohdaten!V40-Rohdaten!V22</f>
        <v>-9.999999999999995E-3</v>
      </c>
      <c r="R21">
        <f>Rohdaten!W40-Rohdaten!W22</f>
        <v>0.25900000000000001</v>
      </c>
      <c r="S21">
        <f>Rohdaten!X40-Rohdaten!X22</f>
        <v>-1.0000000000000009E-2</v>
      </c>
      <c r="T21">
        <f>Rohdaten!Y40-Rohdaten!Y22</f>
        <v>4.5000000000000012E-2</v>
      </c>
      <c r="U21">
        <f>Rohdaten!Z40-Rohdaten!Z22</f>
        <v>-1.4999999999999986E-2</v>
      </c>
      <c r="V21">
        <f>Rohdaten!AA40-Rohdaten!AA22</f>
        <v>8.3000000000000018E-2</v>
      </c>
      <c r="W21">
        <f>Rohdaten!AB40-Rohdaten!AB22</f>
        <v>-9.9999999999999811E-3</v>
      </c>
      <c r="X21">
        <f>Rohdaten!AC40-Rohdaten!AC22</f>
        <v>9.0000000000000024E-2</v>
      </c>
      <c r="Y21">
        <f>Rohdaten!AD40-Rohdaten!AD22</f>
        <v>5.600000000000005E-2</v>
      </c>
      <c r="Z21">
        <f>Rohdaten!AE40-Rohdaten!AE22</f>
        <v>0.125</v>
      </c>
    </row>
    <row r="22" spans="1:26">
      <c r="B22">
        <f>Rohdaten!D41-Rohdaten!D23</f>
        <v>-1.100000000000001E-2</v>
      </c>
      <c r="C22">
        <f>Rohdaten!E41-Rohdaten!E23</f>
        <v>0.22300000000000003</v>
      </c>
      <c r="D22">
        <f>Rohdaten!F41-Rohdaten!F23</f>
        <v>0.21799999999999997</v>
      </c>
      <c r="E22">
        <f>Rohdaten!G41-Rohdaten!G23</f>
        <v>-8.0000000000000071E-3</v>
      </c>
      <c r="F22">
        <f>Rohdaten!H41-Rohdaten!H23</f>
        <v>-4.0000000000000036E-3</v>
      </c>
      <c r="G22">
        <f>Rohdaten!I41-Rohdaten!I23</f>
        <v>-1.100000000000001E-2</v>
      </c>
      <c r="H22">
        <f>Rohdaten!J41-Rohdaten!J23</f>
        <v>1.100000000000001E-2</v>
      </c>
      <c r="I22">
        <f>Rohdaten!K41-Rohdaten!K23</f>
        <v>0.20599999999999996</v>
      </c>
      <c r="J22">
        <f>Rohdaten!L41-Rohdaten!L23</f>
        <v>7.0000000000000062E-3</v>
      </c>
      <c r="K22">
        <f>Rohdaten!M41-Rohdaten!M23</f>
        <v>1.999999999999999E-2</v>
      </c>
      <c r="L22">
        <f>Rohdaten!N41-Rohdaten!N23</f>
        <v>0.25</v>
      </c>
      <c r="M22">
        <f>Rohdaten!O41-Rohdaten!O23</f>
        <v>3.0000000000000027E-3</v>
      </c>
      <c r="O22">
        <f>Rohdaten!T41-Rohdaten!T23</f>
        <v>-5.0000000000000044E-3</v>
      </c>
      <c r="P22">
        <f>Rohdaten!U41-Rohdaten!U23</f>
        <v>0.23799999999999999</v>
      </c>
      <c r="Q22">
        <f>Rohdaten!V41-Rohdaten!V23</f>
        <v>0.18099999999999999</v>
      </c>
      <c r="R22">
        <f>Rohdaten!W41-Rohdaten!W23</f>
        <v>-4.0000000000000036E-3</v>
      </c>
      <c r="S22">
        <f>Rohdaten!X41-Rohdaten!X23</f>
        <v>-4.0000000000000036E-3</v>
      </c>
      <c r="T22">
        <f>Rohdaten!Y41-Rohdaten!Y23</f>
        <v>9.7999999999999976E-2</v>
      </c>
      <c r="U22">
        <f>Rohdaten!Z41-Rohdaten!Z23</f>
        <v>6.0000000000000053E-3</v>
      </c>
      <c r="V22">
        <f>Rohdaten!AA41-Rohdaten!AA23</f>
        <v>0.13200000000000001</v>
      </c>
      <c r="W22">
        <f>Rohdaten!AB41-Rohdaten!AB23</f>
        <v>-5.0000000000000044E-3</v>
      </c>
      <c r="X22">
        <f>Rohdaten!AC41-Rohdaten!AC23</f>
        <v>1.2000000000000011E-2</v>
      </c>
      <c r="Y22">
        <f>Rohdaten!AD41-Rohdaten!AD23</f>
        <v>0.27299999999999996</v>
      </c>
      <c r="Z22">
        <f>Rohdaten!AE41-Rohdaten!AE23</f>
        <v>-6.0000000000000053E-3</v>
      </c>
    </row>
    <row r="23" spans="1:26">
      <c r="B23">
        <f>Rohdaten!D42-Rohdaten!D24</f>
        <v>-9.999999999999995E-3</v>
      </c>
      <c r="C23">
        <f>Rohdaten!E42-Rohdaten!E24</f>
        <v>9.5999999999999974E-2</v>
      </c>
      <c r="D23">
        <f>Rohdaten!F42-Rohdaten!F24</f>
        <v>0.11199999999999999</v>
      </c>
      <c r="E23">
        <f>Rohdaten!G42-Rohdaten!G24</f>
        <v>-8.9999999999999941E-3</v>
      </c>
      <c r="F23">
        <f>Rohdaten!H42-Rohdaten!H24</f>
        <v>-9.000000000000008E-3</v>
      </c>
      <c r="G23">
        <f>Rohdaten!I42-Rohdaten!I24</f>
        <v>-1.3999999999999985E-2</v>
      </c>
      <c r="H23">
        <f>Rohdaten!J42-Rohdaten!J24</f>
        <v>-9.000000000000008E-3</v>
      </c>
      <c r="I23">
        <f>Rohdaten!K42-Rohdaten!K24</f>
        <v>0.13700000000000001</v>
      </c>
      <c r="J23">
        <f>Rohdaten!L42-Rohdaten!L24</f>
        <v>-1.0000000000000009E-2</v>
      </c>
      <c r="K23">
        <f>Rohdaten!M42-Rohdaten!M24</f>
        <v>-1.0000000000000009E-3</v>
      </c>
      <c r="L23">
        <f>Rohdaten!N42-Rohdaten!N24</f>
        <v>0.13399999999999995</v>
      </c>
      <c r="M23">
        <f>Rohdaten!O42-Rohdaten!O24</f>
        <v>-8.9999999999999802E-3</v>
      </c>
      <c r="O23">
        <f>Rohdaten!T42-Rohdaten!T24</f>
        <v>-5.9999999999999915E-3</v>
      </c>
      <c r="P23">
        <f>Rohdaten!U42-Rohdaten!U24</f>
        <v>0.12899999999999998</v>
      </c>
      <c r="Q23">
        <f>Rohdaten!V42-Rohdaten!V24</f>
        <v>9.4E-2</v>
      </c>
      <c r="R23">
        <f>Rohdaten!W42-Rohdaten!W24</f>
        <v>-5.9999999999999915E-3</v>
      </c>
      <c r="S23">
        <f>Rohdaten!X42-Rohdaten!X24</f>
        <v>-9.000000000000008E-3</v>
      </c>
      <c r="T23">
        <f>Rohdaten!Y42-Rohdaten!Y24</f>
        <v>2.200000000000002E-2</v>
      </c>
      <c r="U23">
        <f>Rohdaten!Z42-Rohdaten!Z24</f>
        <v>-8.0000000000000071E-3</v>
      </c>
      <c r="V23">
        <f>Rohdaten!AA42-Rohdaten!AA24</f>
        <v>3.5000000000000003E-2</v>
      </c>
      <c r="W23">
        <f>Rohdaten!AB42-Rohdaten!AB24</f>
        <v>-9.000000000000008E-3</v>
      </c>
      <c r="X23">
        <f>Rohdaten!AC42-Rohdaten!AC24</f>
        <v>1.0000000000000009E-3</v>
      </c>
      <c r="Y23">
        <f>Rohdaten!AD42-Rohdaten!AD24</f>
        <v>0.128</v>
      </c>
      <c r="Z23">
        <f>Rohdaten!AE42-Rohdaten!AE24</f>
        <v>-4.0000000000000036E-3</v>
      </c>
    </row>
    <row r="24" spans="1:26">
      <c r="B24">
        <f>Rohdaten!D43-Rohdaten!D25</f>
        <v>-9.000000000000008E-3</v>
      </c>
      <c r="C24">
        <f>Rohdaten!E43-Rohdaten!E25</f>
        <v>-3.0000000000000027E-3</v>
      </c>
      <c r="D24">
        <f>Rohdaten!F43-Rohdaten!F25</f>
        <v>-9.000000000000008E-3</v>
      </c>
      <c r="E24">
        <f>Rohdaten!G43-Rohdaten!G25</f>
        <v>0.13700000000000001</v>
      </c>
      <c r="F24">
        <f>Rohdaten!H43-Rohdaten!H25</f>
        <v>-6.0000000000000053E-3</v>
      </c>
      <c r="G24">
        <f>Rohdaten!I43-Rohdaten!I25</f>
        <v>3.0000000000000027E-2</v>
      </c>
      <c r="H24">
        <f>Rohdaten!J43-Rohdaten!J25</f>
        <v>0.13900000000000001</v>
      </c>
      <c r="I24">
        <f>Rohdaten!K43-Rohdaten!K25</f>
        <v>0.28400000000000003</v>
      </c>
      <c r="J24">
        <f>Rohdaten!L43-Rohdaten!L25</f>
        <v>0.1110000000000001</v>
      </c>
      <c r="K24">
        <f>Rohdaten!M43-Rohdaten!M25</f>
        <v>0.20100000000000001</v>
      </c>
      <c r="L24">
        <f>Rohdaten!N43-Rohdaten!N25</f>
        <v>1.0000000000000009E-3</v>
      </c>
      <c r="M24">
        <f>Rohdaten!O43-Rohdaten!O25</f>
        <v>-2.0999999999999963E-2</v>
      </c>
      <c r="O24">
        <f>Rohdaten!T43-Rohdaten!T25</f>
        <v>4.9999999999999989E-2</v>
      </c>
      <c r="P24">
        <f>Rohdaten!U43-Rohdaten!U25</f>
        <v>0</v>
      </c>
      <c r="Q24">
        <f>Rohdaten!V43-Rohdaten!V25</f>
        <v>-7.0000000000000062E-3</v>
      </c>
      <c r="R24">
        <f>Rohdaten!W43-Rohdaten!W25</f>
        <v>0.13400000000000001</v>
      </c>
      <c r="S24">
        <f>Rohdaten!X43-Rohdaten!X25</f>
        <v>-5.0000000000000044E-3</v>
      </c>
      <c r="T24">
        <f>Rohdaten!Y43-Rohdaten!Y25</f>
        <v>2.2999999999999965E-2</v>
      </c>
      <c r="U24">
        <f>Rohdaten!Z43-Rohdaten!Z25</f>
        <v>9.4999999999999973E-2</v>
      </c>
      <c r="V24">
        <f>Rohdaten!AA43-Rohdaten!AA25</f>
        <v>0.27399999999999997</v>
      </c>
      <c r="W24">
        <f>Rohdaten!AB43-Rohdaten!AB25</f>
        <v>0.10999999999999999</v>
      </c>
      <c r="X24">
        <f>Rohdaten!AC43-Rohdaten!AC25</f>
        <v>0.187</v>
      </c>
      <c r="Y24">
        <f>Rohdaten!AD43-Rohdaten!AD25</f>
        <v>1.999999999999999E-2</v>
      </c>
      <c r="Z24">
        <f>Rohdaten!AE43-Rohdaten!AE25</f>
        <v>-1.3000000000000012E-2</v>
      </c>
    </row>
    <row r="25" spans="1:26">
      <c r="B25">
        <f>Rohdaten!D44-Rohdaten!D26</f>
        <v>-8.9999999999999941E-3</v>
      </c>
      <c r="C25">
        <f>Rohdaten!E44-Rohdaten!E26</f>
        <v>-8.0000000000000071E-3</v>
      </c>
      <c r="D25">
        <f>Rohdaten!F44-Rohdaten!F26</f>
        <v>-8.9999999999999941E-3</v>
      </c>
      <c r="E25">
        <f>Rohdaten!G44-Rohdaten!G26</f>
        <v>0.06</v>
      </c>
      <c r="F25">
        <f>Rohdaten!H44-Rohdaten!H26</f>
        <v>-8.0000000000000071E-3</v>
      </c>
      <c r="G25">
        <f>Rohdaten!I44-Rohdaten!I26</f>
        <v>1.0000000000000009E-2</v>
      </c>
      <c r="H25">
        <f>Rohdaten!J44-Rohdaten!J26</f>
        <v>8.3999999999999964E-2</v>
      </c>
      <c r="I25">
        <f>Rohdaten!K44-Rohdaten!K26</f>
        <v>7.7000000000000013E-2</v>
      </c>
      <c r="J25">
        <f>Rohdaten!L44-Rohdaten!L26</f>
        <v>6.2999999999999945E-2</v>
      </c>
      <c r="K25">
        <f>Rohdaten!M44-Rohdaten!M26</f>
        <v>0.11500000000000002</v>
      </c>
      <c r="L25">
        <f>Rohdaten!N44-Rohdaten!N26</f>
        <v>-4.0000000000000036E-3</v>
      </c>
      <c r="M25">
        <f>Rohdaten!O44-Rohdaten!O26</f>
        <v>-2.200000000000002E-2</v>
      </c>
      <c r="O25">
        <f>Rohdaten!T44-Rohdaten!T26</f>
        <v>6.0000000000000053E-3</v>
      </c>
      <c r="P25">
        <f>Rohdaten!U44-Rohdaten!U26</f>
        <v>-6.0000000000000053E-3</v>
      </c>
      <c r="Q25">
        <f>Rohdaten!V44-Rohdaten!V26</f>
        <v>-7.9999999999999932E-3</v>
      </c>
      <c r="R25">
        <f>Rohdaten!W44-Rohdaten!W26</f>
        <v>0.06</v>
      </c>
      <c r="S25">
        <f>Rohdaten!X44-Rohdaten!X26</f>
        <v>-7.0000000000000062E-3</v>
      </c>
      <c r="T25">
        <f>Rohdaten!Y44-Rohdaten!Y26</f>
        <v>9.000000000000008E-3</v>
      </c>
      <c r="U25">
        <f>Rohdaten!Z44-Rohdaten!Z26</f>
        <v>6.3999999999999946E-2</v>
      </c>
      <c r="V25">
        <f>Rohdaten!AA44-Rohdaten!AA26</f>
        <v>7.8000000000000014E-2</v>
      </c>
      <c r="W25">
        <f>Rohdaten!AB44-Rohdaten!AB26</f>
        <v>7.999999999999996E-2</v>
      </c>
      <c r="X25">
        <f>Rohdaten!AC44-Rohdaten!AC26</f>
        <v>0.1</v>
      </c>
      <c r="Y25">
        <f>Rohdaten!AD44-Rohdaten!AD26</f>
        <v>-1.0000000000000009E-3</v>
      </c>
      <c r="Z25">
        <f>Rohdaten!AE44-Rohdaten!AE26</f>
        <v>-1.2000000000000011E-2</v>
      </c>
    </row>
    <row r="26" spans="1:26">
      <c r="B26">
        <f>Rohdaten!D45-Rohdaten!D27</f>
        <v>1.1440000000000001</v>
      </c>
      <c r="C26">
        <f>Rohdaten!E45-Rohdaten!E27</f>
        <v>-8.0000000000000071E-3</v>
      </c>
      <c r="D26">
        <f>Rohdaten!F45-Rohdaten!F27</f>
        <v>-9.000000000000008E-3</v>
      </c>
      <c r="E26">
        <f>Rohdaten!G45-Rohdaten!G27</f>
        <v>2.7999999999999997E-2</v>
      </c>
      <c r="F26">
        <f>Rohdaten!H45-Rohdaten!H27</f>
        <v>1.3999999999999985E-2</v>
      </c>
      <c r="G26">
        <f>Rohdaten!I45-Rohdaten!I27</f>
        <v>-7.0000000000000062E-3</v>
      </c>
      <c r="H26">
        <f>Rohdaten!J45-Rohdaten!J27</f>
        <v>-6.0000000000000053E-3</v>
      </c>
      <c r="I26">
        <f>Rohdaten!K45-Rohdaten!K27</f>
        <v>4.0000000000000036E-3</v>
      </c>
      <c r="J26">
        <f>Rohdaten!L45-Rohdaten!L27</f>
        <v>-8.0000000000000071E-3</v>
      </c>
      <c r="K26">
        <f>Rohdaten!M45-Rohdaten!M27</f>
        <v>1.8999999999999989E-2</v>
      </c>
      <c r="L26">
        <f>Rohdaten!N45-Rohdaten!N27</f>
        <v>0.246</v>
      </c>
      <c r="M26">
        <f>Rohdaten!O45-Rohdaten!O27</f>
        <v>1.0000000000000009E-2</v>
      </c>
      <c r="O26">
        <f>Rohdaten!T45-Rohdaten!T27</f>
        <v>0.77399999999999991</v>
      </c>
      <c r="P26">
        <f>Rohdaten!U45-Rohdaten!U27</f>
        <v>-5.0000000000000044E-3</v>
      </c>
      <c r="Q26">
        <f>Rohdaten!V45-Rohdaten!V27</f>
        <v>-5.0000000000000044E-3</v>
      </c>
      <c r="R26">
        <f>Rohdaten!W45-Rohdaten!W27</f>
        <v>-7.0000000000000062E-3</v>
      </c>
      <c r="S26">
        <f>Rohdaten!X45-Rohdaten!X27</f>
        <v>-1.0000000000000009E-3</v>
      </c>
      <c r="T26">
        <f>Rohdaten!Y45-Rohdaten!Y27</f>
        <v>-6.0000000000000053E-3</v>
      </c>
      <c r="U26">
        <f>Rohdaten!Z45-Rohdaten!Z27</f>
        <v>-5.9999999999999776E-3</v>
      </c>
      <c r="V26">
        <f>Rohdaten!AA45-Rohdaten!AA27</f>
        <v>-5.0000000000000044E-3</v>
      </c>
      <c r="W26">
        <f>Rohdaten!AB45-Rohdaten!AB27</f>
        <v>6.2E-2</v>
      </c>
      <c r="X26">
        <f>Rohdaten!AC45-Rohdaten!AC27</f>
        <v>-1.0000000000000009E-3</v>
      </c>
      <c r="Y26">
        <f>Rohdaten!AD45-Rohdaten!AD27</f>
        <v>0.21100000000000002</v>
      </c>
      <c r="Z26">
        <f>Rohdaten!AE45-Rohdaten!AE27</f>
        <v>-1.5000000000000013E-2</v>
      </c>
    </row>
    <row r="27" spans="1:26">
      <c r="B27">
        <f>Rohdaten!D46-Rohdaten!D28</f>
        <v>0.30399999999999999</v>
      </c>
      <c r="C27">
        <f>Rohdaten!E46-Rohdaten!E28</f>
        <v>-8.0000000000000071E-3</v>
      </c>
      <c r="D27">
        <f>Rohdaten!F46-Rohdaten!F28</f>
        <v>-8.9999999999999941E-3</v>
      </c>
      <c r="E27">
        <f>Rohdaten!G46-Rohdaten!G28</f>
        <v>6.0000000000000053E-3</v>
      </c>
      <c r="F27">
        <f>Rohdaten!H46-Rohdaten!H28</f>
        <v>0</v>
      </c>
      <c r="G27">
        <f>Rohdaten!I46-Rohdaten!I28</f>
        <v>-1.1999999999999983E-2</v>
      </c>
      <c r="H27">
        <f>Rohdaten!J46-Rohdaten!J28</f>
        <v>-1.0000000000000009E-2</v>
      </c>
      <c r="I27">
        <f>Rohdaten!K46-Rohdaten!K28</f>
        <v>-5.9999999999999776E-3</v>
      </c>
      <c r="J27">
        <f>Rohdaten!L46-Rohdaten!L28</f>
        <v>-1.100000000000001E-2</v>
      </c>
      <c r="K27">
        <f>Rohdaten!M46-Rohdaten!M28</f>
        <v>-6.0000000000000053E-3</v>
      </c>
      <c r="L27">
        <f>Rohdaten!N46-Rohdaten!N28</f>
        <v>0.11799999999999999</v>
      </c>
      <c r="M27">
        <f>Rohdaten!O46-Rohdaten!O28</f>
        <v>-1.0000000000000009E-2</v>
      </c>
      <c r="O27">
        <f>Rohdaten!T46-Rohdaten!T28</f>
        <v>0.15200000000000002</v>
      </c>
      <c r="P27">
        <f>Rohdaten!U46-Rohdaten!U28</f>
        <v>-5.0000000000000044E-3</v>
      </c>
      <c r="Q27">
        <f>Rohdaten!V46-Rohdaten!V28</f>
        <v>-6.9999999999999923E-3</v>
      </c>
      <c r="R27">
        <f>Rohdaten!W46-Rohdaten!W28</f>
        <v>-6.0000000000000053E-3</v>
      </c>
      <c r="S27">
        <f>Rohdaten!X46-Rohdaten!X28</f>
        <v>-2.0000000000000018E-3</v>
      </c>
      <c r="T27">
        <f>Rohdaten!Y46-Rohdaten!Y28</f>
        <v>-1.3999999999999985E-2</v>
      </c>
      <c r="U27">
        <f>Rohdaten!Z46-Rohdaten!Z28</f>
        <v>-1.1999999999999983E-2</v>
      </c>
      <c r="V27">
        <f>Rohdaten!AA46-Rohdaten!AA28</f>
        <v>-1.2000000000000011E-2</v>
      </c>
      <c r="W27">
        <f>Rohdaten!AB46-Rohdaten!AB28</f>
        <v>2.6000000000000023E-2</v>
      </c>
      <c r="X27">
        <f>Rohdaten!AC46-Rohdaten!AC28</f>
        <v>-1.0999999999999982E-2</v>
      </c>
      <c r="Y27">
        <f>Rohdaten!AD46-Rohdaten!AD28</f>
        <v>0.10200000000000004</v>
      </c>
      <c r="Z27">
        <f>Rohdaten!AE46-Rohdaten!AE28</f>
        <v>-1.3999999999999985E-2</v>
      </c>
    </row>
    <row r="28" spans="1:26">
      <c r="B28">
        <f>Rohdaten!D47-Rohdaten!D29</f>
        <v>1.4649999999999999</v>
      </c>
      <c r="C28">
        <f>Rohdaten!E47-Rohdaten!E29</f>
        <v>-8.0000000000000071E-3</v>
      </c>
      <c r="D28">
        <f>Rohdaten!F47-Rohdaten!F29</f>
        <v>-8.0000000000000071E-3</v>
      </c>
      <c r="E28">
        <f>Rohdaten!G47-Rohdaten!G29</f>
        <v>0</v>
      </c>
      <c r="F28">
        <f>Rohdaten!H47-Rohdaten!H29</f>
        <v>-5.0000000000000044E-3</v>
      </c>
      <c r="G28">
        <f>Rohdaten!I47-Rohdaten!I29</f>
        <v>-1.100000000000001E-2</v>
      </c>
      <c r="H28">
        <f>Rohdaten!J47-Rohdaten!J29</f>
        <v>-9.000000000000008E-3</v>
      </c>
      <c r="I28">
        <f>Rohdaten!K47-Rohdaten!K29</f>
        <v>-9.000000000000008E-3</v>
      </c>
      <c r="J28">
        <f>Rohdaten!L47-Rohdaten!L29</f>
        <v>0.23200000000000004</v>
      </c>
      <c r="K28">
        <f>Rohdaten!M47-Rohdaten!M29</f>
        <v>-2.0000000000000018E-3</v>
      </c>
      <c r="L28">
        <f>Rohdaten!N47-Rohdaten!N29</f>
        <v>-1.2000000000000011E-2</v>
      </c>
      <c r="M28">
        <f>Rohdaten!O47-Rohdaten!O29</f>
        <v>-1.6999999999999987E-2</v>
      </c>
      <c r="O28">
        <f>Rohdaten!T47-Rohdaten!T29</f>
        <v>1.2869999999999999</v>
      </c>
      <c r="P28">
        <f>Rohdaten!U47-Rohdaten!U29</f>
        <v>-6.0000000000000053E-3</v>
      </c>
      <c r="Q28">
        <f>Rohdaten!V47-Rohdaten!V29</f>
        <v>3.4000000000000002E-2</v>
      </c>
      <c r="R28">
        <f>Rohdaten!W47-Rohdaten!W29</f>
        <v>-2.0000000000000018E-3</v>
      </c>
      <c r="S28">
        <f>Rohdaten!X47-Rohdaten!X29</f>
        <v>2.0000000000000018E-3</v>
      </c>
      <c r="T28">
        <f>Rohdaten!Y47-Rohdaten!Y29</f>
        <v>-6.0000000000000053E-3</v>
      </c>
      <c r="U28">
        <f>Rohdaten!Z47-Rohdaten!Z29</f>
        <v>-1.0000000000000009E-3</v>
      </c>
      <c r="V28">
        <f>Rohdaten!AA47-Rohdaten!AA29</f>
        <v>-7.0000000000000062E-3</v>
      </c>
      <c r="W28">
        <f>Rohdaten!AB47-Rohdaten!AB29</f>
        <v>0.17699999999999999</v>
      </c>
      <c r="X28">
        <f>Rohdaten!AC47-Rohdaten!AC29</f>
        <v>-3.0000000000000027E-3</v>
      </c>
      <c r="Y28">
        <f>Rohdaten!AD47-Rohdaten!AD29</f>
        <v>-1.0000000000000009E-2</v>
      </c>
      <c r="Z28">
        <f>Rohdaten!AE47-Rohdaten!AE29</f>
        <v>-9.000000000000008E-3</v>
      </c>
    </row>
    <row r="29" spans="1:26">
      <c r="B29">
        <f>Rohdaten!D48-Rohdaten!D30</f>
        <v>0.47100000000000003</v>
      </c>
      <c r="C29">
        <f>Rohdaten!E48-Rohdaten!E30</f>
        <v>-8.0000000000000071E-3</v>
      </c>
      <c r="D29">
        <f>Rohdaten!F48-Rohdaten!F30</f>
        <v>-7.9999999999999932E-3</v>
      </c>
      <c r="E29">
        <f>Rohdaten!G48-Rohdaten!G30</f>
        <v>-6.9999999999999923E-3</v>
      </c>
      <c r="F29">
        <f>Rohdaten!H48-Rohdaten!H30</f>
        <v>-6.0000000000000053E-3</v>
      </c>
      <c r="G29">
        <f>Rohdaten!I48-Rohdaten!I30</f>
        <v>-1.0999999999999982E-2</v>
      </c>
      <c r="H29">
        <f>Rohdaten!J48-Rohdaten!J30</f>
        <v>-9.9999999999999811E-3</v>
      </c>
      <c r="I29">
        <f>Rohdaten!K48-Rohdaten!K30</f>
        <v>-9.000000000000008E-3</v>
      </c>
      <c r="J29">
        <f>Rohdaten!L48-Rohdaten!L30</f>
        <v>9.2999999999999999E-2</v>
      </c>
      <c r="K29">
        <f>Rohdaten!M48-Rohdaten!M30</f>
        <v>-5.0000000000000044E-3</v>
      </c>
      <c r="L29">
        <f>Rohdaten!N48-Rohdaten!N30</f>
        <v>-1.3000000000000012E-2</v>
      </c>
      <c r="M29">
        <f>Rohdaten!O48-Rohdaten!O30</f>
        <v>-1.6999999999999987E-2</v>
      </c>
      <c r="O29">
        <f>Rohdaten!T48-Rohdaten!T30</f>
        <v>0.40299999999999997</v>
      </c>
      <c r="P29">
        <f>Rohdaten!U48-Rohdaten!U30</f>
        <v>-6.0000000000000053E-3</v>
      </c>
      <c r="Q29">
        <f>Rohdaten!V48-Rohdaten!V30</f>
        <v>9.000000000000008E-3</v>
      </c>
      <c r="R29">
        <f>Rohdaten!W48-Rohdaten!W30</f>
        <v>-8.0000000000000071E-3</v>
      </c>
      <c r="S29">
        <f>Rohdaten!X48-Rohdaten!X30</f>
        <v>0</v>
      </c>
      <c r="T29">
        <f>Rohdaten!Y48-Rohdaten!Y30</f>
        <v>-8.0000000000000071E-3</v>
      </c>
      <c r="U29">
        <f>Rohdaten!Z48-Rohdaten!Z30</f>
        <v>-7.0000000000000062E-3</v>
      </c>
      <c r="V29">
        <f>Rohdaten!AA48-Rohdaten!AA30</f>
        <v>-9.000000000000008E-3</v>
      </c>
      <c r="W29">
        <f>Rohdaten!AB48-Rohdaten!AB30</f>
        <v>6.6000000000000003E-2</v>
      </c>
      <c r="X29">
        <f>Rohdaten!AC48-Rohdaten!AC30</f>
        <v>-9.000000000000008E-3</v>
      </c>
      <c r="Y29">
        <f>Rohdaten!AD48-Rohdaten!AD30</f>
        <v>-1.100000000000001E-2</v>
      </c>
      <c r="Z29">
        <f>Rohdaten!AE48-Rohdaten!AE30</f>
        <v>-1.100000000000001E-2</v>
      </c>
    </row>
    <row r="30" spans="1:26">
      <c r="B30">
        <f>Rohdaten!D49-Rohdaten!D31</f>
        <v>-1.100000000000001E-2</v>
      </c>
      <c r="C30">
        <f>Rohdaten!E49-Rohdaten!E31</f>
        <v>-7.0000000000000062E-3</v>
      </c>
      <c r="D30">
        <f>Rohdaten!F49-Rohdaten!F31</f>
        <v>-9.000000000000008E-3</v>
      </c>
      <c r="E30">
        <f>Rohdaten!G49-Rohdaten!G31</f>
        <v>-4.6000000000000013E-2</v>
      </c>
      <c r="F30">
        <f>Rohdaten!H49-Rohdaten!H31</f>
        <v>-9.000000000000008E-3</v>
      </c>
      <c r="G30">
        <f>Rohdaten!I49-Rohdaten!I31</f>
        <v>0.35800000000000004</v>
      </c>
      <c r="H30">
        <f>Rohdaten!J49-Rohdaten!J31</f>
        <v>3.1E-2</v>
      </c>
      <c r="I30">
        <f>Rohdaten!K49-Rohdaten!K31</f>
        <v>-1.2000000000000011E-2</v>
      </c>
      <c r="J30">
        <f>Rohdaten!L49-Rohdaten!L31</f>
        <v>-1.2999999999999984E-2</v>
      </c>
      <c r="K30">
        <f>Rohdaten!M49-Rohdaten!M31</f>
        <v>-2.0000000000000018E-3</v>
      </c>
      <c r="L30">
        <f>Rohdaten!N49-Rohdaten!N31</f>
        <v>-9.000000000000008E-3</v>
      </c>
      <c r="M30">
        <f>Rohdaten!O49-Rohdaten!O31</f>
        <v>0.10400000000000001</v>
      </c>
      <c r="O30">
        <f>Rohdaten!T49-Rohdaten!T31</f>
        <v>-9.000000000000008E-3</v>
      </c>
      <c r="P30">
        <f>Rohdaten!U49-Rohdaten!U31</f>
        <v>-6.0000000000000053E-3</v>
      </c>
      <c r="Q30">
        <f>Rohdaten!V49-Rohdaten!V31</f>
        <v>-6.0000000000000053E-3</v>
      </c>
      <c r="R30">
        <f>Rohdaten!W49-Rohdaten!W31</f>
        <v>-5.0000000000000044E-3</v>
      </c>
      <c r="S30">
        <f>Rohdaten!X49-Rohdaten!X31</f>
        <v>-5.0000000000000044E-3</v>
      </c>
      <c r="T30">
        <f>Rohdaten!Y49-Rohdaten!Y31</f>
        <v>-6.0000000000000053E-3</v>
      </c>
      <c r="U30">
        <f>Rohdaten!Z49-Rohdaten!Z31</f>
        <v>-6.9999999999999785E-3</v>
      </c>
      <c r="V30">
        <f>Rohdaten!AA49-Rohdaten!AA31</f>
        <v>-8.9999999999999802E-3</v>
      </c>
      <c r="W30">
        <f>Rohdaten!AB49-Rohdaten!AB31</f>
        <v>-9.000000000000008E-3</v>
      </c>
      <c r="X30">
        <f>Rohdaten!AC49-Rohdaten!AC31</f>
        <v>0</v>
      </c>
      <c r="Y30">
        <f>Rohdaten!AD49-Rohdaten!AD31</f>
        <v>-8.0000000000000071E-3</v>
      </c>
      <c r="Z30">
        <f>Rohdaten!AE49-Rohdaten!AE31</f>
        <v>0.10600000000000001</v>
      </c>
    </row>
    <row r="31" spans="1:26">
      <c r="B31">
        <f>Rohdaten!D50-Rohdaten!D32</f>
        <v>-1.0000000000000009E-2</v>
      </c>
      <c r="C31">
        <f>Rohdaten!E50-Rohdaten!E32</f>
        <v>-7.0000000000000062E-3</v>
      </c>
      <c r="D31">
        <f>Rohdaten!F50-Rohdaten!F32</f>
        <v>-7.9999999999999932E-3</v>
      </c>
      <c r="E31">
        <f>Rohdaten!G50-Rohdaten!G32</f>
        <v>-6.9999999999999923E-3</v>
      </c>
      <c r="F31">
        <f>Rohdaten!H50-Rohdaten!H32</f>
        <v>-7.9999999999999932E-3</v>
      </c>
      <c r="G31">
        <f>Rohdaten!I50-Rohdaten!I32</f>
        <v>0.11699999999999999</v>
      </c>
      <c r="H31">
        <f>Rohdaten!J50-Rohdaten!J32</f>
        <v>-1.100000000000001E-2</v>
      </c>
      <c r="I31">
        <f>Rohdaten!K50-Rohdaten!K32</f>
        <v>-1.1999999999999983E-2</v>
      </c>
      <c r="J31">
        <f>Rohdaten!L50-Rohdaten!L32</f>
        <v>-1.2999999999999998E-2</v>
      </c>
      <c r="K31">
        <f>Rohdaten!M50-Rohdaten!M32</f>
        <v>-7.9999999999999932E-3</v>
      </c>
      <c r="L31">
        <f>Rohdaten!N50-Rohdaten!N32</f>
        <v>-9.9999999999999811E-3</v>
      </c>
      <c r="M31">
        <f>Rohdaten!O50-Rohdaten!O32</f>
        <v>7.0000000000000007E-2</v>
      </c>
      <c r="O31">
        <f>Rohdaten!T50-Rohdaten!T32</f>
        <v>-9.000000000000008E-3</v>
      </c>
      <c r="P31">
        <f>Rohdaten!U50-Rohdaten!U32</f>
        <v>-6.0000000000000053E-3</v>
      </c>
      <c r="Q31">
        <f>Rohdaten!V50-Rohdaten!V32</f>
        <v>-5.9999999999999915E-3</v>
      </c>
      <c r="R31">
        <f>Rohdaten!W50-Rohdaten!W32</f>
        <v>-5.9999999999999915E-3</v>
      </c>
      <c r="S31">
        <f>Rohdaten!X50-Rohdaten!X32</f>
        <v>-5.9999999999999915E-3</v>
      </c>
      <c r="T31">
        <f>Rohdaten!Y50-Rohdaten!Y32</f>
        <v>-7.0000000000000062E-3</v>
      </c>
      <c r="U31">
        <f>Rohdaten!Z50-Rohdaten!Z32</f>
        <v>-9.000000000000008E-3</v>
      </c>
      <c r="V31">
        <f>Rohdaten!AA50-Rohdaten!AA32</f>
        <v>-9.9999999999999811E-3</v>
      </c>
      <c r="W31">
        <f>Rohdaten!AB50-Rohdaten!AB32</f>
        <v>-1.100000000000001E-2</v>
      </c>
      <c r="X31">
        <f>Rohdaten!AC50-Rohdaten!AC32</f>
        <v>-7.0000000000000062E-3</v>
      </c>
      <c r="Y31">
        <f>Rohdaten!AD50-Rohdaten!AD32</f>
        <v>-8.9999999999999802E-3</v>
      </c>
      <c r="Z31">
        <f>Rohdaten!AE50-Rohdaten!AE32</f>
        <v>7.2000000000000008E-2</v>
      </c>
    </row>
    <row r="32" spans="1:26">
      <c r="B32">
        <f>Rohdaten!D51-Rohdaten!D33</f>
        <v>-1.0000000000000009E-2</v>
      </c>
      <c r="C32">
        <f>Rohdaten!E51-Rohdaten!E33</f>
        <v>-6.9999999999999785E-3</v>
      </c>
      <c r="D32">
        <f>Rohdaten!F51-Rohdaten!F33</f>
        <v>-6.0000000000000053E-3</v>
      </c>
      <c r="E32">
        <f>Rohdaten!G51-Rohdaten!G33</f>
        <v>-7.0000000000000062E-3</v>
      </c>
      <c r="F32">
        <f>Rohdaten!H51-Rohdaten!H33</f>
        <v>0.40999999999999992</v>
      </c>
      <c r="G32">
        <f>Rohdaten!I51-Rohdaten!I33</f>
        <v>-1.2999999999999984E-2</v>
      </c>
      <c r="H32">
        <f>Rohdaten!J51-Rohdaten!J33</f>
        <v>-1.0000000000000009E-3</v>
      </c>
      <c r="I32">
        <f>Rohdaten!K51-Rohdaten!K33</f>
        <v>2.8999999999999998E-2</v>
      </c>
      <c r="J32">
        <f>Rohdaten!L51-Rohdaten!L33</f>
        <v>-5.0000000000000044E-3</v>
      </c>
      <c r="K32">
        <f>Rohdaten!M51-Rohdaten!M33</f>
        <v>-3.0000000000000027E-3</v>
      </c>
      <c r="L32">
        <f>Rohdaten!N51-Rohdaten!N33</f>
        <v>-8.0000000000000071E-3</v>
      </c>
      <c r="M32">
        <f>Rohdaten!O51-Rohdaten!O33</f>
        <v>1.036</v>
      </c>
      <c r="O32">
        <f>Rohdaten!T51-Rohdaten!T33</f>
        <v>0.33899999999999997</v>
      </c>
      <c r="P32">
        <f>Rohdaten!U51-Rohdaten!U33</f>
        <v>-5.9999999999999776E-3</v>
      </c>
      <c r="Q32">
        <f>Rohdaten!V51-Rohdaten!V33</f>
        <v>-4.0000000000000036E-3</v>
      </c>
      <c r="R32">
        <f>Rohdaten!W51-Rohdaten!W33</f>
        <v>-7.0000000000000062E-3</v>
      </c>
      <c r="S32">
        <f>Rohdaten!X51-Rohdaten!X33</f>
        <v>8.9999999999999802E-3</v>
      </c>
      <c r="T32">
        <f>Rohdaten!Y51-Rohdaten!Y33</f>
        <v>-6.9999999999999785E-3</v>
      </c>
      <c r="U32">
        <f>Rohdaten!Z51-Rohdaten!Z33</f>
        <v>-3.0000000000000027E-3</v>
      </c>
      <c r="V32">
        <f>Rohdaten!AA51-Rohdaten!AA33</f>
        <v>-6.9999999999999785E-3</v>
      </c>
      <c r="W32">
        <f>Rohdaten!AB51-Rohdaten!AB33</f>
        <v>-5.0000000000000044E-3</v>
      </c>
      <c r="X32">
        <f>Rohdaten!AC51-Rohdaten!AC33</f>
        <v>-4.9999999999999767E-3</v>
      </c>
      <c r="Y32">
        <f>Rohdaten!AD51-Rohdaten!AD33</f>
        <v>-6.0000000000000053E-3</v>
      </c>
      <c r="Z32">
        <f>Rohdaten!AE51-Rohdaten!AE33</f>
        <v>-9.9999999999999811E-3</v>
      </c>
    </row>
    <row r="33" spans="1:26">
      <c r="B33">
        <f>Rohdaten!D52-Rohdaten!D34</f>
        <v>-9.000000000000008E-3</v>
      </c>
      <c r="C33">
        <f>Rohdaten!E52-Rohdaten!E34</f>
        <v>-7.0000000000000062E-3</v>
      </c>
      <c r="D33">
        <f>Rohdaten!F52-Rohdaten!F34</f>
        <v>-5.0000000000000044E-3</v>
      </c>
      <c r="E33">
        <f>Rohdaten!G52-Rohdaten!G34</f>
        <v>-7.0000000000000062E-3</v>
      </c>
      <c r="F33">
        <f>Rohdaten!H52-Rohdaten!H34</f>
        <v>0.11499999999999999</v>
      </c>
      <c r="G33">
        <f>Rohdaten!I52-Rohdaten!I34</f>
        <v>-1.2999999999999998E-2</v>
      </c>
      <c r="H33">
        <f>Rohdaten!J52-Rohdaten!J34</f>
        <v>-1.0000000000000009E-2</v>
      </c>
      <c r="I33">
        <f>Rohdaten!K52-Rohdaten!K34</f>
        <v>7.0000000000000062E-3</v>
      </c>
      <c r="J33">
        <f>Rohdaten!L52-Rohdaten!L34</f>
        <v>-6.0000000000000053E-3</v>
      </c>
      <c r="K33">
        <f>Rohdaten!M52-Rohdaten!M34</f>
        <v>-4.0000000000000036E-3</v>
      </c>
      <c r="L33">
        <f>Rohdaten!N52-Rohdaten!N34</f>
        <v>-7.9999999999999932E-3</v>
      </c>
      <c r="M33">
        <f>Rohdaten!O52-Rohdaten!O34</f>
        <v>0.22799999999999998</v>
      </c>
      <c r="O33">
        <f>Rohdaten!T52-Rohdaten!T34</f>
        <v>8.8999999999999982E-2</v>
      </c>
      <c r="P33">
        <f>Rohdaten!U52-Rohdaten!U34</f>
        <v>-7.0000000000000062E-3</v>
      </c>
      <c r="Q33">
        <f>Rohdaten!V52-Rohdaten!V34</f>
        <v>-4.0000000000000036E-3</v>
      </c>
      <c r="R33">
        <f>Rohdaten!W52-Rohdaten!W34</f>
        <v>-6.0000000000000053E-3</v>
      </c>
      <c r="S33">
        <f>Rohdaten!X52-Rohdaten!X34</f>
        <v>5.0000000000000044E-3</v>
      </c>
      <c r="T33">
        <f>Rohdaten!Y52-Rohdaten!Y34</f>
        <v>-7.0000000000000062E-3</v>
      </c>
      <c r="U33">
        <f>Rohdaten!Z52-Rohdaten!Z34</f>
        <v>-9.000000000000008E-3</v>
      </c>
      <c r="V33">
        <f>Rohdaten!AA52-Rohdaten!AA34</f>
        <v>-9.000000000000008E-3</v>
      </c>
      <c r="W33">
        <f>Rohdaten!AB52-Rohdaten!AB34</f>
        <v>-7.0000000000000062E-3</v>
      </c>
      <c r="X33">
        <f>Rohdaten!AC52-Rohdaten!AC34</f>
        <v>-5.0000000000000044E-3</v>
      </c>
      <c r="Y33">
        <f>Rohdaten!AD52-Rohdaten!AD34</f>
        <v>-7.9999999999999932E-3</v>
      </c>
      <c r="Z33">
        <f>Rohdaten!AE52-Rohdaten!AE34</f>
        <v>-1.0999999999999996E-2</v>
      </c>
    </row>
    <row r="34" spans="1:26">
      <c r="B34">
        <f>Rohdaten!D53-Rohdaten!D35</f>
        <v>7.9999999999999988E-2</v>
      </c>
      <c r="C34">
        <f>Rohdaten!E53-Rohdaten!E35</f>
        <v>-8.0000000000000071E-3</v>
      </c>
      <c r="D34">
        <f>Rohdaten!F53-Rohdaten!F35</f>
        <v>-8.0000000000000071E-3</v>
      </c>
      <c r="E34">
        <f>Rohdaten!G53-Rohdaten!G35</f>
        <v>-7.0000000000000062E-3</v>
      </c>
      <c r="F34">
        <f>Rohdaten!H53-Rohdaten!H35</f>
        <v>-7.0000000000000062E-3</v>
      </c>
      <c r="G34">
        <f>Rohdaten!I53-Rohdaten!I35</f>
        <v>5.799999999999994E-2</v>
      </c>
      <c r="H34">
        <f>Rohdaten!J53-Rohdaten!J35</f>
        <v>1.100000000000001E-2</v>
      </c>
      <c r="I34">
        <f>Rohdaten!K53-Rohdaten!K35</f>
        <v>0.13700000000000001</v>
      </c>
      <c r="J34">
        <f>Rohdaten!L53-Rohdaten!L35</f>
        <v>0.54800000000000004</v>
      </c>
      <c r="K34">
        <f>Rohdaten!M53-Rohdaten!M35</f>
        <v>-6.0000000000000053E-3</v>
      </c>
      <c r="L34">
        <f>Rohdaten!N53-Rohdaten!N35</f>
        <v>2.0000000000000018E-3</v>
      </c>
      <c r="M34">
        <f>Rohdaten!O53-Rohdaten!O35</f>
        <v>-7.0000000000000062E-3</v>
      </c>
      <c r="O34">
        <f>Rohdaten!T53-Rohdaten!T35</f>
        <v>-9.000000000000008E-3</v>
      </c>
      <c r="P34">
        <f>Rohdaten!U53-Rohdaten!U35</f>
        <v>-8.0000000000000071E-3</v>
      </c>
      <c r="Q34">
        <f>Rohdaten!V53-Rohdaten!V35</f>
        <v>1.7999999999999988E-2</v>
      </c>
      <c r="R34">
        <f>Rohdaten!W53-Rohdaten!W35</f>
        <v>2.0000000000000018E-3</v>
      </c>
      <c r="S34">
        <f>Rohdaten!X53-Rohdaten!X35</f>
        <v>-7.0000000000000062E-3</v>
      </c>
      <c r="T34">
        <f>Rohdaten!Y53-Rohdaten!Y35</f>
        <v>5.5999999999999939E-2</v>
      </c>
      <c r="U34">
        <f>Rohdaten!Z53-Rohdaten!Z35</f>
        <v>1.0000000000000009E-2</v>
      </c>
      <c r="V34">
        <f>Rohdaten!AA53-Rohdaten!AA35</f>
        <v>-3.0000000000000027E-3</v>
      </c>
      <c r="W34">
        <f>Rohdaten!AB53-Rohdaten!AB35</f>
        <v>-5.0000000000000044E-3</v>
      </c>
      <c r="X34">
        <f>Rohdaten!AC53-Rohdaten!AC35</f>
        <v>0.58299999999999996</v>
      </c>
      <c r="Y34">
        <f>Rohdaten!AD53-Rohdaten!AD35</f>
        <v>1.0000000000000009E-3</v>
      </c>
      <c r="Z34">
        <f>Rohdaten!AE53-Rohdaten!AE35</f>
        <v>-1.3000000000000012E-2</v>
      </c>
    </row>
    <row r="35" spans="1:26">
      <c r="B35">
        <f>Rohdaten!D54-Rohdaten!D36</f>
        <v>2.5999999999999981E-2</v>
      </c>
      <c r="C35">
        <f>Rohdaten!E54-Rohdaten!E36</f>
        <v>-7.0000000000000062E-3</v>
      </c>
      <c r="D35">
        <f>Rohdaten!F54-Rohdaten!F36</f>
        <v>-7.9999999999999932E-3</v>
      </c>
      <c r="E35">
        <f>Rohdaten!G54-Rohdaten!G36</f>
        <v>-7.0000000000000062E-3</v>
      </c>
      <c r="F35">
        <f>Rohdaten!H54-Rohdaten!H36</f>
        <v>-1.0999999999999982E-2</v>
      </c>
      <c r="G35">
        <f>Rohdaten!I54-Rohdaten!I36</f>
        <v>1.0000000000000009E-3</v>
      </c>
      <c r="H35">
        <f>Rohdaten!J54-Rohdaten!J36</f>
        <v>-5.0000000000000044E-3</v>
      </c>
      <c r="I35">
        <f>Rohdaten!K54-Rohdaten!K36</f>
        <v>3.5000000000000003E-2</v>
      </c>
      <c r="J35">
        <f>Rohdaten!L54-Rohdaten!L36</f>
        <v>0.129</v>
      </c>
      <c r="K35">
        <f>Rohdaten!M54-Rohdaten!M36</f>
        <v>-9.000000000000008E-3</v>
      </c>
      <c r="L35">
        <f>Rohdaten!N54-Rohdaten!N36</f>
        <v>-2.0000000000000018E-3</v>
      </c>
      <c r="M35">
        <f>Rohdaten!O54-Rohdaten!O36</f>
        <v>-6.0000000000000053E-3</v>
      </c>
      <c r="O35">
        <f>Rohdaten!T54-Rohdaten!T36</f>
        <v>-8.0000000000000071E-3</v>
      </c>
      <c r="P35">
        <f>Rohdaten!U54-Rohdaten!U36</f>
        <v>-8.0000000000000071E-3</v>
      </c>
      <c r="Q35">
        <f>Rohdaten!V54-Rohdaten!V36</f>
        <v>1.9999999999999879E-3</v>
      </c>
      <c r="R35">
        <f>Rohdaten!W54-Rohdaten!W36</f>
        <v>-5.0000000000000044E-3</v>
      </c>
      <c r="S35">
        <f>Rohdaten!X54-Rohdaten!X36</f>
        <v>-9.9999999999999811E-3</v>
      </c>
      <c r="T35">
        <f>Rohdaten!Y54-Rohdaten!Y36</f>
        <v>1.0000000000000009E-3</v>
      </c>
      <c r="U35">
        <f>Rohdaten!Z54-Rohdaten!Z36</f>
        <v>-5.0000000000000044E-3</v>
      </c>
      <c r="V35">
        <f>Rohdaten!AA54-Rohdaten!AA36</f>
        <v>-8.0000000000000071E-3</v>
      </c>
      <c r="W35">
        <f>Rohdaten!AB54-Rohdaten!AB36</f>
        <v>-6.9999999999999923E-3</v>
      </c>
      <c r="X35">
        <f>Rohdaten!AC54-Rohdaten!AC36</f>
        <v>0.18</v>
      </c>
      <c r="Y35">
        <f>Rohdaten!AD54-Rohdaten!AD36</f>
        <v>-1.0000000000000009E-3</v>
      </c>
      <c r="Z35">
        <f>Rohdaten!AE54-Rohdaten!AE36</f>
        <v>-1.2999999999999998E-2</v>
      </c>
    </row>
    <row r="37" spans="1:26">
      <c r="A37" s="36"/>
      <c r="B37" s="36" t="s">
        <v>16</v>
      </c>
      <c r="C37" s="36" t="s">
        <v>18</v>
      </c>
      <c r="D37" s="36" t="s">
        <v>20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>
      <c r="B38">
        <f>Rohdaten!D57-Rohdaten!D39</f>
        <v>-1.0000000000000009E-3</v>
      </c>
      <c r="C38">
        <f>Rohdaten!E57-Rohdaten!E39</f>
        <v>2.0000000000000018E-3</v>
      </c>
      <c r="D38">
        <f>Rohdaten!F57-Rohdaten!F39</f>
        <v>-3.0000000000000027E-3</v>
      </c>
      <c r="E38">
        <f>Rohdaten!G57-Rohdaten!G39</f>
        <v>-1.0000000000000009E-3</v>
      </c>
      <c r="F38">
        <f>Rohdaten!H57-Rohdaten!H39</f>
        <v>0</v>
      </c>
      <c r="G38">
        <f>Rohdaten!I57-Rohdaten!I39</f>
        <v>-1.0000000000000009E-3</v>
      </c>
      <c r="H38">
        <f>Rohdaten!J57-Rohdaten!J39</f>
        <v>-3.0000000000000027E-3</v>
      </c>
      <c r="I38">
        <f>Rohdaten!K57-Rohdaten!K39</f>
        <v>3.0000000000000027E-2</v>
      </c>
      <c r="J38">
        <f>Rohdaten!L57-Rohdaten!L39</f>
        <v>-4.0000000000000036E-3</v>
      </c>
      <c r="K38">
        <f>Rohdaten!M57-Rohdaten!M39</f>
        <v>3.2000000000000028E-2</v>
      </c>
      <c r="L38">
        <f>Rohdaten!N57-Rohdaten!N39</f>
        <v>0</v>
      </c>
      <c r="M38">
        <f>Rohdaten!O57-Rohdaten!O39</f>
        <v>2.4999999999999911E-2</v>
      </c>
      <c r="O38">
        <f>Rohdaten!T57-Rohdaten!T39</f>
        <v>-2.0000000000000018E-3</v>
      </c>
      <c r="P38">
        <f>Rohdaten!U57-Rohdaten!U39</f>
        <v>3.0000000000000027E-3</v>
      </c>
      <c r="Q38">
        <f>Rohdaten!V57-Rohdaten!V39</f>
        <v>-3.0000000000000027E-3</v>
      </c>
      <c r="R38">
        <f>Rohdaten!W57-Rohdaten!W39</f>
        <v>0.11099999999999999</v>
      </c>
      <c r="S38">
        <f>Rohdaten!X57-Rohdaten!X39</f>
        <v>-2.0000000000000018E-3</v>
      </c>
      <c r="T38">
        <f>Rohdaten!Y57-Rohdaten!Y39</f>
        <v>0.26699999999999996</v>
      </c>
      <c r="U38">
        <f>Rohdaten!Z57-Rohdaten!Z39</f>
        <v>-3.0000000000000027E-3</v>
      </c>
      <c r="V38">
        <f>Rohdaten!AA57-Rohdaten!AA39</f>
        <v>1.9999999999999907E-2</v>
      </c>
      <c r="W38">
        <f>Rohdaten!AB57-Rohdaten!AB39</f>
        <v>-4.0000000000000036E-3</v>
      </c>
      <c r="X38">
        <f>Rohdaten!AC57-Rohdaten!AC39</f>
        <v>1.3000000000000012E-2</v>
      </c>
      <c r="Y38">
        <f>Rohdaten!AD57-Rohdaten!AD39</f>
        <v>-3.0000000000000027E-3</v>
      </c>
      <c r="Z38">
        <f>Rohdaten!AE57-Rohdaten!AE39</f>
        <v>2.7999999999999914E-2</v>
      </c>
    </row>
    <row r="39" spans="1:26">
      <c r="B39">
        <f>Rohdaten!D58-Rohdaten!D40</f>
        <v>-2.0000000000000018E-3</v>
      </c>
      <c r="C39">
        <f>Rohdaten!E58-Rohdaten!E40</f>
        <v>-1.0000000000000009E-3</v>
      </c>
      <c r="D39">
        <f>Rohdaten!F58-Rohdaten!F40</f>
        <v>-2.0000000000000018E-3</v>
      </c>
      <c r="E39">
        <f>Rohdaten!G58-Rohdaten!G40</f>
        <v>-2.0000000000000018E-3</v>
      </c>
      <c r="F39">
        <f>Rohdaten!H58-Rohdaten!H40</f>
        <v>-1.0000000000000009E-3</v>
      </c>
      <c r="G39">
        <f>Rohdaten!I58-Rohdaten!I40</f>
        <v>-1.0000000000000009E-3</v>
      </c>
      <c r="H39">
        <f>Rohdaten!J58-Rohdaten!J40</f>
        <v>-3.0000000000000027E-3</v>
      </c>
      <c r="I39">
        <f>Rohdaten!K58-Rohdaten!K40</f>
        <v>1.9000000000000017E-2</v>
      </c>
      <c r="J39">
        <f>Rohdaten!L58-Rohdaten!L40</f>
        <v>-3.0000000000000027E-3</v>
      </c>
      <c r="K39">
        <f>Rohdaten!M58-Rohdaten!M40</f>
        <v>2.200000000000002E-2</v>
      </c>
      <c r="L39">
        <f>Rohdaten!N58-Rohdaten!N40</f>
        <v>-1.0000000000000009E-3</v>
      </c>
      <c r="M39">
        <f>Rohdaten!O58-Rohdaten!O40</f>
        <v>2.0000000000000018E-2</v>
      </c>
      <c r="O39">
        <f>Rohdaten!T58-Rohdaten!T40</f>
        <v>-2.0000000000000018E-3</v>
      </c>
      <c r="P39">
        <f>Rohdaten!U58-Rohdaten!U40</f>
        <v>-1.0000000000000009E-3</v>
      </c>
      <c r="Q39">
        <f>Rohdaten!V58-Rohdaten!V40</f>
        <v>-1.0000000000000009E-3</v>
      </c>
      <c r="R39">
        <f>Rohdaten!W58-Rohdaten!W40</f>
        <v>2.4999999999999967E-2</v>
      </c>
      <c r="S39">
        <f>Rohdaten!X58-Rohdaten!X40</f>
        <v>-2.0000000000000018E-3</v>
      </c>
      <c r="T39">
        <f>Rohdaten!Y58-Rohdaten!Y40</f>
        <v>8.8999999999999996E-2</v>
      </c>
      <c r="U39">
        <f>Rohdaten!Z58-Rohdaten!Z40</f>
        <v>-3.0000000000000027E-3</v>
      </c>
      <c r="V39">
        <f>Rohdaten!AA58-Rohdaten!AA40</f>
        <v>2.0999999999999963E-2</v>
      </c>
      <c r="W39">
        <f>Rohdaten!AB58-Rohdaten!AB40</f>
        <v>-2.0000000000000018E-3</v>
      </c>
      <c r="X39">
        <f>Rohdaten!AC58-Rohdaten!AC40</f>
        <v>8.0000000000000071E-3</v>
      </c>
      <c r="Y39">
        <f>Rohdaten!AD58-Rohdaten!AD40</f>
        <v>-1.0000000000000009E-3</v>
      </c>
      <c r="Z39">
        <f>Rohdaten!AE58-Rohdaten!AE40</f>
        <v>2.200000000000002E-2</v>
      </c>
    </row>
    <row r="40" spans="1:26">
      <c r="B40">
        <f>Rohdaten!D59-Rohdaten!D41</f>
        <v>-1.0000000000000009E-3</v>
      </c>
      <c r="C40">
        <f>Rohdaten!E59-Rohdaten!E41</f>
        <v>2.8999999999999915E-2</v>
      </c>
      <c r="D40">
        <f>Rohdaten!F59-Rohdaten!F41</f>
        <v>5.0000000000000044E-2</v>
      </c>
      <c r="E40">
        <f>Rohdaten!G59-Rohdaten!G41</f>
        <v>0</v>
      </c>
      <c r="F40">
        <f>Rohdaten!H59-Rohdaten!H41</f>
        <v>-1.0000000000000009E-3</v>
      </c>
      <c r="G40">
        <f>Rohdaten!I59-Rohdaten!I41</f>
        <v>-4.0000000000000036E-3</v>
      </c>
      <c r="H40">
        <f>Rohdaten!J59-Rohdaten!J41</f>
        <v>-2.0000000000000018E-3</v>
      </c>
      <c r="I40">
        <f>Rohdaten!K59-Rohdaten!K41</f>
        <v>0.1399999999999999</v>
      </c>
      <c r="J40">
        <f>Rohdaten!L59-Rohdaten!L41</f>
        <v>0</v>
      </c>
      <c r="K40">
        <f>Rohdaten!M59-Rohdaten!M41</f>
        <v>2.0000000000000018E-3</v>
      </c>
      <c r="L40">
        <f>Rohdaten!N59-Rohdaten!N41</f>
        <v>5.4000000000000048E-2</v>
      </c>
      <c r="M40">
        <f>Rohdaten!O59-Rohdaten!O41</f>
        <v>6.0000000000000053E-3</v>
      </c>
      <c r="O40">
        <f>Rohdaten!T59-Rohdaten!T41</f>
        <v>-2.0000000000000018E-3</v>
      </c>
      <c r="P40">
        <f>Rohdaten!U59-Rohdaten!U41</f>
        <v>3.400000000000003E-2</v>
      </c>
      <c r="Q40">
        <f>Rohdaten!V59-Rohdaten!V41</f>
        <v>2.300000000000002E-2</v>
      </c>
      <c r="R40">
        <f>Rohdaten!W59-Rohdaten!W41</f>
        <v>2.0000000000000018E-3</v>
      </c>
      <c r="S40">
        <f>Rohdaten!X59-Rohdaten!X41</f>
        <v>-1.0000000000000009E-3</v>
      </c>
      <c r="T40">
        <f>Rohdaten!Y59-Rohdaten!Y41</f>
        <v>8.3000000000000018E-2</v>
      </c>
      <c r="U40">
        <f>Rohdaten!Z59-Rohdaten!Z41</f>
        <v>-3.0000000000000027E-3</v>
      </c>
      <c r="V40">
        <f>Rohdaten!AA59-Rohdaten!AA41</f>
        <v>3.3000000000000029E-2</v>
      </c>
      <c r="W40">
        <f>Rohdaten!AB59-Rohdaten!AB41</f>
        <v>-1.0000000000000009E-3</v>
      </c>
      <c r="X40">
        <f>Rohdaten!AC59-Rohdaten!AC41</f>
        <v>-3.0000000000000027E-3</v>
      </c>
      <c r="Y40">
        <f>Rohdaten!AD59-Rohdaten!AD41</f>
        <v>2.8000000000000025E-2</v>
      </c>
      <c r="Z40">
        <f>Rohdaten!AE59-Rohdaten!AE41</f>
        <v>0</v>
      </c>
    </row>
    <row r="41" spans="1:26">
      <c r="B41">
        <f>Rohdaten!D60-Rohdaten!D42</f>
        <v>-1.0000000000000009E-3</v>
      </c>
      <c r="C41">
        <f>Rohdaten!E60-Rohdaten!E42</f>
        <v>1.9000000000000017E-2</v>
      </c>
      <c r="D41">
        <f>Rohdaten!F60-Rohdaten!F42</f>
        <v>2.9999999999999971E-2</v>
      </c>
      <c r="E41">
        <f>Rohdaten!G60-Rohdaten!G42</f>
        <v>-1.0000000000000009E-3</v>
      </c>
      <c r="F41">
        <f>Rohdaten!H60-Rohdaten!H42</f>
        <v>-1.0000000000000009E-3</v>
      </c>
      <c r="G41">
        <f>Rohdaten!I60-Rohdaten!I42</f>
        <v>-4.0000000000000036E-3</v>
      </c>
      <c r="H41">
        <f>Rohdaten!J60-Rohdaten!J42</f>
        <v>-1.0000000000000009E-3</v>
      </c>
      <c r="I41">
        <f>Rohdaten!K60-Rohdaten!K42</f>
        <v>0.06</v>
      </c>
      <c r="J41">
        <f>Rohdaten!L60-Rohdaten!L42</f>
        <v>-2.0000000000000018E-3</v>
      </c>
      <c r="K41">
        <f>Rohdaten!M60-Rohdaten!M42</f>
        <v>-2.0000000000000018E-3</v>
      </c>
      <c r="L41">
        <f>Rohdaten!N60-Rohdaten!N42</f>
        <v>2.8000000000000025E-2</v>
      </c>
      <c r="M41">
        <f>Rohdaten!O60-Rohdaten!O42</f>
        <v>1.999999999999974E-3</v>
      </c>
      <c r="O41">
        <f>Rohdaten!T60-Rohdaten!T42</f>
        <v>-2.0000000000000018E-3</v>
      </c>
      <c r="P41">
        <f>Rohdaten!U60-Rohdaten!U42</f>
        <v>2.300000000000002E-2</v>
      </c>
      <c r="Q41">
        <f>Rohdaten!V60-Rohdaten!V42</f>
        <v>8.0000000000000071E-3</v>
      </c>
      <c r="R41">
        <f>Rohdaten!W60-Rohdaten!W42</f>
        <v>1.9999999999999879E-3</v>
      </c>
      <c r="S41">
        <f>Rohdaten!X60-Rohdaten!X42</f>
        <v>-1.0000000000000009E-3</v>
      </c>
      <c r="T41">
        <f>Rohdaten!Y60-Rohdaten!Y42</f>
        <v>1.5999999999999986E-2</v>
      </c>
      <c r="U41">
        <f>Rohdaten!Z60-Rohdaten!Z42</f>
        <v>-3.0000000000000027E-3</v>
      </c>
      <c r="V41">
        <f>Rohdaten!AA60-Rohdaten!AA42</f>
        <v>1.0000000000000009E-2</v>
      </c>
      <c r="W41">
        <f>Rohdaten!AB60-Rohdaten!AB42</f>
        <v>-3.0000000000000027E-3</v>
      </c>
      <c r="X41">
        <f>Rohdaten!AC60-Rohdaten!AC42</f>
        <v>-3.0000000000000027E-3</v>
      </c>
      <c r="Y41">
        <f>Rohdaten!AD60-Rohdaten!AD42</f>
        <v>2.300000000000002E-2</v>
      </c>
      <c r="Z41">
        <f>Rohdaten!AE60-Rohdaten!AE42</f>
        <v>-2.0000000000000018E-3</v>
      </c>
    </row>
    <row r="42" spans="1:26">
      <c r="B42">
        <f>Rohdaten!D61-Rohdaten!D43</f>
        <v>-2.0000000000000018E-3</v>
      </c>
      <c r="C42">
        <f>Rohdaten!E61-Rohdaten!E43</f>
        <v>0</v>
      </c>
      <c r="D42">
        <f>Rohdaten!F61-Rohdaten!F43</f>
        <v>-1.0000000000000009E-3</v>
      </c>
      <c r="E42">
        <f>Rohdaten!G61-Rohdaten!G43</f>
        <v>1.2000000000000011E-2</v>
      </c>
      <c r="F42">
        <f>Rohdaten!H61-Rohdaten!H43</f>
        <v>-1.0000000000000009E-3</v>
      </c>
      <c r="G42">
        <f>Rohdaten!I61-Rohdaten!I43</f>
        <v>4.0000000000000036E-3</v>
      </c>
      <c r="H42">
        <f>Rohdaten!J61-Rohdaten!J43</f>
        <v>5.0000000000000044E-3</v>
      </c>
      <c r="I42">
        <f>Rohdaten!K61-Rohdaten!K43</f>
        <v>7.3999999999999955E-2</v>
      </c>
      <c r="J42">
        <f>Rohdaten!L61-Rohdaten!L43</f>
        <v>-1.0000000000001119E-3</v>
      </c>
      <c r="K42">
        <f>Rohdaten!M61-Rohdaten!M43</f>
        <v>4.1000000000000036E-2</v>
      </c>
      <c r="L42">
        <f>Rohdaten!N61-Rohdaten!N43</f>
        <v>-7.0000000000000062E-3</v>
      </c>
      <c r="M42">
        <f>Rohdaten!O61-Rohdaten!O43</f>
        <v>-5.0000000000000044E-3</v>
      </c>
      <c r="O42">
        <f>Rohdaten!T61-Rohdaten!T43</f>
        <v>6.8999999999999978E-2</v>
      </c>
      <c r="P42">
        <f>Rohdaten!U61-Rohdaten!U43</f>
        <v>0</v>
      </c>
      <c r="Q42">
        <f>Rohdaten!V61-Rohdaten!V43</f>
        <v>-2.0000000000000018E-3</v>
      </c>
      <c r="R42">
        <f>Rohdaten!W61-Rohdaten!W43</f>
        <v>7.0000000000000062E-3</v>
      </c>
      <c r="S42">
        <f>Rohdaten!X61-Rohdaten!X43</f>
        <v>-2.0000000000000018E-3</v>
      </c>
      <c r="T42">
        <f>Rohdaten!Y61-Rohdaten!Y43</f>
        <v>3.0000000000000027E-3</v>
      </c>
      <c r="U42">
        <f>Rohdaten!Z61-Rohdaten!Z43</f>
        <v>1.0999999999999899E-2</v>
      </c>
      <c r="V42">
        <f>Rohdaten!AA61-Rohdaten!AA43</f>
        <v>2.6000000000000023E-2</v>
      </c>
      <c r="W42">
        <f>Rohdaten!AB61-Rohdaten!AB43</f>
        <v>2.9999999999998916E-3</v>
      </c>
      <c r="X42">
        <f>Rohdaten!AC61-Rohdaten!AC43</f>
        <v>3.1000000000000028E-2</v>
      </c>
      <c r="Y42">
        <f>Rohdaten!AD61-Rohdaten!AD43</f>
        <v>-8.0000000000000071E-3</v>
      </c>
      <c r="Z42">
        <f>Rohdaten!AE61-Rohdaten!AE43</f>
        <v>-4.0000000000000036E-3</v>
      </c>
    </row>
    <row r="43" spans="1:26">
      <c r="B43">
        <f>Rohdaten!D62-Rohdaten!D44</f>
        <v>-3.0000000000000027E-3</v>
      </c>
      <c r="C43">
        <f>Rohdaten!E62-Rohdaten!E44</f>
        <v>0</v>
      </c>
      <c r="D43">
        <f>Rohdaten!F62-Rohdaten!F44</f>
        <v>-1.0000000000000009E-3</v>
      </c>
      <c r="E43">
        <f>Rohdaten!G62-Rohdaten!G44</f>
        <v>4.0000000000000036E-3</v>
      </c>
      <c r="F43">
        <f>Rohdaten!H62-Rohdaten!H44</f>
        <v>-1.0000000000000009E-3</v>
      </c>
      <c r="G43">
        <f>Rohdaten!I62-Rohdaten!I44</f>
        <v>1.0000000000000009E-3</v>
      </c>
      <c r="H43">
        <f>Rohdaten!J62-Rohdaten!J44</f>
        <v>3.0000000000000027E-3</v>
      </c>
      <c r="I43">
        <f>Rohdaten!K62-Rohdaten!K44</f>
        <v>2.5999999999999968E-2</v>
      </c>
      <c r="J43">
        <f>Rohdaten!L62-Rohdaten!L44</f>
        <v>-3.0000000000000027E-3</v>
      </c>
      <c r="K43">
        <f>Rohdaten!M62-Rohdaten!M44</f>
        <v>1.9999999999999962E-2</v>
      </c>
      <c r="L43">
        <f>Rohdaten!N62-Rohdaten!N44</f>
        <v>-8.0000000000000071E-3</v>
      </c>
      <c r="M43">
        <f>Rohdaten!O62-Rohdaten!O44</f>
        <v>-3.0000000000000027E-3</v>
      </c>
      <c r="O43">
        <f>Rohdaten!T62-Rohdaten!T44</f>
        <v>2.1999999999999992E-2</v>
      </c>
      <c r="P43">
        <f>Rohdaten!U62-Rohdaten!U44</f>
        <v>-9.9999999999998701E-4</v>
      </c>
      <c r="Q43">
        <f>Rohdaten!V62-Rohdaten!V44</f>
        <v>-1.0000000000000009E-3</v>
      </c>
      <c r="R43">
        <f>Rohdaten!W62-Rohdaten!W44</f>
        <v>-1.0000000000000009E-3</v>
      </c>
      <c r="S43">
        <f>Rohdaten!X62-Rohdaten!X44</f>
        <v>-1.0000000000000009E-3</v>
      </c>
      <c r="T43">
        <f>Rohdaten!Y62-Rohdaten!Y44</f>
        <v>0</v>
      </c>
      <c r="U43">
        <f>Rohdaten!Z62-Rohdaten!Z44</f>
        <v>5.0000000000000044E-3</v>
      </c>
      <c r="V43">
        <f>Rohdaten!AA62-Rohdaten!AA44</f>
        <v>-9.000000000000008E-3</v>
      </c>
      <c r="W43">
        <f>Rohdaten!AB62-Rohdaten!AB44</f>
        <v>-2.0000000000000018E-3</v>
      </c>
      <c r="X43">
        <f>Rohdaten!AC62-Rohdaten!AC44</f>
        <v>1.9999999999999962E-2</v>
      </c>
      <c r="Y43">
        <f>Rohdaten!AD62-Rohdaten!AD44</f>
        <v>-4.0000000000000036E-3</v>
      </c>
      <c r="Z43">
        <f>Rohdaten!AE62-Rohdaten!AE44</f>
        <v>-3.0000000000000027E-3</v>
      </c>
    </row>
    <row r="44" spans="1:26">
      <c r="B44">
        <f>Rohdaten!D63-Rohdaten!D45</f>
        <v>-6.7000000000000171E-2</v>
      </c>
      <c r="C44">
        <f>Rohdaten!E63-Rohdaten!E45</f>
        <v>-1.0000000000000009E-3</v>
      </c>
      <c r="D44">
        <f>Rohdaten!F63-Rohdaten!F45</f>
        <v>-1.0000000000000009E-3</v>
      </c>
      <c r="E44">
        <f>Rohdaten!G63-Rohdaten!G45</f>
        <v>1.8000000000000016E-2</v>
      </c>
      <c r="F44">
        <f>Rohdaten!H63-Rohdaten!H45</f>
        <v>2.6999999999999996E-2</v>
      </c>
      <c r="G44">
        <f>Rohdaten!I63-Rohdaten!I45</f>
        <v>-1.0000000000000009E-3</v>
      </c>
      <c r="H44">
        <f>Rohdaten!J63-Rohdaten!J45</f>
        <v>-2.0000000000000018E-3</v>
      </c>
      <c r="I44">
        <f>Rohdaten!K63-Rohdaten!K45</f>
        <v>9.9999999999997313E-4</v>
      </c>
      <c r="J44">
        <f>Rohdaten!L63-Rohdaten!L45</f>
        <v>-1.0000000000000009E-3</v>
      </c>
      <c r="K44">
        <f>Rohdaten!M63-Rohdaten!M45</f>
        <v>2.0000000000000018E-3</v>
      </c>
      <c r="L44">
        <f>Rohdaten!N63-Rohdaten!N45</f>
        <v>2.5000000000000022E-2</v>
      </c>
      <c r="M44">
        <f>Rohdaten!O63-Rohdaten!O45</f>
        <v>1.8999999999999961E-2</v>
      </c>
      <c r="O44">
        <f>Rohdaten!T63-Rohdaten!T45</f>
        <v>0.45999999999999996</v>
      </c>
      <c r="P44">
        <f>Rohdaten!U63-Rohdaten!U45</f>
        <v>-2.0000000000000018E-3</v>
      </c>
      <c r="Q44">
        <f>Rohdaten!V63-Rohdaten!V45</f>
        <v>-2.0000000000000018E-3</v>
      </c>
      <c r="R44">
        <f>Rohdaten!W63-Rohdaten!W45</f>
        <v>-2.0000000000000018E-3</v>
      </c>
      <c r="S44">
        <f>Rohdaten!X63-Rohdaten!X45</f>
        <v>0</v>
      </c>
      <c r="T44">
        <f>Rohdaten!Y63-Rohdaten!Y45</f>
        <v>-1.0000000000000009E-3</v>
      </c>
      <c r="U44">
        <f>Rohdaten!Z63-Rohdaten!Z45</f>
        <v>-2.0000000000000018E-3</v>
      </c>
      <c r="V44">
        <f>Rohdaten!AA63-Rohdaten!AA45</f>
        <v>-2.0000000000000018E-3</v>
      </c>
      <c r="W44">
        <f>Rohdaten!AB63-Rohdaten!AB45</f>
        <v>-6.4999999999999974E-2</v>
      </c>
      <c r="X44">
        <f>Rohdaten!AC63-Rohdaten!AC45</f>
        <v>-3.0000000000000027E-3</v>
      </c>
      <c r="Y44">
        <f>Rohdaten!AD63-Rohdaten!AD45</f>
        <v>2.5999999999999912E-2</v>
      </c>
      <c r="Z44">
        <f>Rohdaten!AE63-Rohdaten!AE45</f>
        <v>-4.0000000000000036E-3</v>
      </c>
    </row>
    <row r="45" spans="1:26">
      <c r="B45">
        <f>Rohdaten!D64-Rohdaten!D46</f>
        <v>-3.3999999999999975E-2</v>
      </c>
      <c r="C45">
        <f>Rohdaten!E64-Rohdaten!E46</f>
        <v>-1.0000000000000009E-3</v>
      </c>
      <c r="D45">
        <f>Rohdaten!F64-Rohdaten!F46</f>
        <v>-1.0000000000000009E-3</v>
      </c>
      <c r="E45">
        <f>Rohdaten!G64-Rohdaten!G46</f>
        <v>5.9999999999999776E-3</v>
      </c>
      <c r="F45">
        <f>Rohdaten!H64-Rohdaten!H46</f>
        <v>6.0000000000000053E-3</v>
      </c>
      <c r="G45">
        <f>Rohdaten!I64-Rohdaten!I46</f>
        <v>-2.0000000000000018E-3</v>
      </c>
      <c r="H45">
        <f>Rohdaten!J64-Rohdaten!J46</f>
        <v>-2.0000000000000018E-3</v>
      </c>
      <c r="I45">
        <f>Rohdaten!K64-Rohdaten!K46</f>
        <v>0</v>
      </c>
      <c r="J45">
        <f>Rohdaten!L64-Rohdaten!L46</f>
        <v>-1.0000000000000009E-3</v>
      </c>
      <c r="K45">
        <f>Rohdaten!M64-Rohdaten!M46</f>
        <v>-1.0000000000000009E-3</v>
      </c>
      <c r="L45">
        <f>Rohdaten!N64-Rohdaten!N46</f>
        <v>1.9000000000000017E-2</v>
      </c>
      <c r="M45">
        <f>Rohdaten!O64-Rohdaten!O46</f>
        <v>4.0000000000000036E-3</v>
      </c>
      <c r="O45">
        <f>Rohdaten!T64-Rohdaten!T46</f>
        <v>0.182</v>
      </c>
      <c r="P45">
        <f>Rohdaten!U64-Rohdaten!U46</f>
        <v>-2.0000000000000018E-3</v>
      </c>
      <c r="Q45">
        <f>Rohdaten!V64-Rohdaten!V46</f>
        <v>-1.0000000000000009E-3</v>
      </c>
      <c r="R45">
        <f>Rohdaten!W64-Rohdaten!W46</f>
        <v>-3.0000000000000027E-3</v>
      </c>
      <c r="S45">
        <f>Rohdaten!X64-Rohdaten!X46</f>
        <v>-1.0000000000000009E-3</v>
      </c>
      <c r="T45">
        <f>Rohdaten!Y64-Rohdaten!Y46</f>
        <v>-2.0000000000000018E-3</v>
      </c>
      <c r="U45">
        <f>Rohdaten!Z64-Rohdaten!Z46</f>
        <v>-2.0000000000000018E-3</v>
      </c>
      <c r="V45">
        <f>Rohdaten!AA64-Rohdaten!AA46</f>
        <v>-3.0000000000000027E-3</v>
      </c>
      <c r="W45">
        <f>Rohdaten!AB64-Rohdaten!AB46</f>
        <v>-3.7000000000000005E-2</v>
      </c>
      <c r="X45">
        <f>Rohdaten!AC64-Rohdaten!AC46</f>
        <v>-2.0000000000000018E-3</v>
      </c>
      <c r="Y45">
        <f>Rohdaten!AD64-Rohdaten!AD46</f>
        <v>1.8000000000000016E-2</v>
      </c>
      <c r="Z45">
        <f>Rohdaten!AE64-Rohdaten!AE46</f>
        <v>-4.0000000000000036E-3</v>
      </c>
    </row>
    <row r="46" spans="1:26">
      <c r="B46">
        <f>Rohdaten!D65-Rohdaten!D47</f>
        <v>8.0000000000000071E-3</v>
      </c>
      <c r="C46">
        <f>Rohdaten!E65-Rohdaten!E47</f>
        <v>-1.0000000000000009E-3</v>
      </c>
      <c r="D46">
        <f>Rohdaten!F65-Rohdaten!F47</f>
        <v>0</v>
      </c>
      <c r="E46">
        <f>Rohdaten!G65-Rohdaten!G47</f>
        <v>-1.0000000000000009E-3</v>
      </c>
      <c r="F46">
        <f>Rohdaten!H65-Rohdaten!H47</f>
        <v>1.0000000000000009E-3</v>
      </c>
      <c r="G46">
        <f>Rohdaten!I65-Rohdaten!I47</f>
        <v>-1.0000000000000009E-3</v>
      </c>
      <c r="H46">
        <f>Rohdaten!J65-Rohdaten!J47</f>
        <v>-2.0000000000000018E-3</v>
      </c>
      <c r="I46">
        <f>Rohdaten!K65-Rohdaten!K47</f>
        <v>-1.0000000000000009E-3</v>
      </c>
      <c r="J46">
        <f>Rohdaten!L65-Rohdaten!L47</f>
        <v>6.9999999999999951E-2</v>
      </c>
      <c r="K46">
        <f>Rohdaten!M65-Rohdaten!M47</f>
        <v>-1.0000000000000009E-3</v>
      </c>
      <c r="L46">
        <f>Rohdaten!N65-Rohdaten!N47</f>
        <v>-2.0000000000000018E-3</v>
      </c>
      <c r="M46">
        <f>Rohdaten!O65-Rohdaten!O47</f>
        <v>-2.0000000000000018E-3</v>
      </c>
      <c r="O46">
        <f>Rohdaten!T65-Rohdaten!T47</f>
        <v>8.4000000000000075E-2</v>
      </c>
      <c r="P46">
        <f>Rohdaten!U65-Rohdaten!U47</f>
        <v>-2.0000000000000018E-3</v>
      </c>
      <c r="Q46">
        <f>Rohdaten!V65-Rohdaten!V47</f>
        <v>4.1999999999999982E-2</v>
      </c>
      <c r="R46">
        <f>Rohdaten!W65-Rohdaten!W47</f>
        <v>1.0000000000000009E-3</v>
      </c>
      <c r="S46">
        <f>Rohdaten!X65-Rohdaten!X47</f>
        <v>-2.0000000000000018E-3</v>
      </c>
      <c r="T46">
        <f>Rohdaten!Y65-Rohdaten!Y47</f>
        <v>5.0000000000000044E-3</v>
      </c>
      <c r="U46">
        <f>Rohdaten!Z65-Rohdaten!Z47</f>
        <v>2.1000000000000019E-2</v>
      </c>
      <c r="V46">
        <f>Rohdaten!AA65-Rohdaten!AA47</f>
        <v>-3.0000000000000027E-3</v>
      </c>
      <c r="W46">
        <f>Rohdaten!AB65-Rohdaten!AB47</f>
        <v>2.6000000000000023E-2</v>
      </c>
      <c r="X46">
        <f>Rohdaten!AC65-Rohdaten!AC47</f>
        <v>-3.0000000000000027E-3</v>
      </c>
      <c r="Y46">
        <f>Rohdaten!AD65-Rohdaten!AD47</f>
        <v>-3.0000000000000027E-3</v>
      </c>
      <c r="Z46">
        <f>Rohdaten!AE65-Rohdaten!AE47</f>
        <v>-3.0000000000000027E-3</v>
      </c>
    </row>
    <row r="47" spans="1:26">
      <c r="B47">
        <f>Rohdaten!D66-Rohdaten!D48</f>
        <v>8.0000000000000071E-3</v>
      </c>
      <c r="C47">
        <f>Rohdaten!E66-Rohdaten!E48</f>
        <v>-1.0000000000000009E-3</v>
      </c>
      <c r="D47">
        <f>Rohdaten!F66-Rohdaten!F48</f>
        <v>0</v>
      </c>
      <c r="E47">
        <f>Rohdaten!G66-Rohdaten!G48</f>
        <v>-1.0000000000000009E-3</v>
      </c>
      <c r="F47">
        <f>Rohdaten!H66-Rohdaten!H48</f>
        <v>1.0000000000000009E-3</v>
      </c>
      <c r="G47">
        <f>Rohdaten!I66-Rohdaten!I48</f>
        <v>-1.0000000000000009E-3</v>
      </c>
      <c r="H47">
        <f>Rohdaten!J66-Rohdaten!J48</f>
        <v>-1.0000000000000009E-3</v>
      </c>
      <c r="I47">
        <f>Rohdaten!K66-Rohdaten!K48</f>
        <v>-2.0000000000000018E-3</v>
      </c>
      <c r="J47">
        <f>Rohdaten!L66-Rohdaten!L48</f>
        <v>3.0000000000000027E-2</v>
      </c>
      <c r="K47">
        <f>Rohdaten!M66-Rohdaten!M48</f>
        <v>-1.0000000000000009E-3</v>
      </c>
      <c r="L47">
        <f>Rohdaten!N66-Rohdaten!N48</f>
        <v>-1.0000000000000009E-3</v>
      </c>
      <c r="M47">
        <f>Rohdaten!O66-Rohdaten!O48</f>
        <v>1.0000000000000009E-3</v>
      </c>
      <c r="O47">
        <f>Rohdaten!T66-Rohdaten!T48</f>
        <v>5.4000000000000048E-2</v>
      </c>
      <c r="P47">
        <f>Rohdaten!U66-Rohdaten!U48</f>
        <v>-3.0000000000000027E-3</v>
      </c>
      <c r="Q47">
        <f>Rohdaten!V66-Rohdaten!V48</f>
        <v>1.2999999999999984E-2</v>
      </c>
      <c r="R47">
        <f>Rohdaten!W66-Rohdaten!W48</f>
        <v>0</v>
      </c>
      <c r="S47">
        <f>Rohdaten!X66-Rohdaten!X48</f>
        <v>-2.0000000000000018E-3</v>
      </c>
      <c r="T47">
        <f>Rohdaten!Y66-Rohdaten!Y48</f>
        <v>5.0000000000000044E-3</v>
      </c>
      <c r="U47">
        <f>Rohdaten!Z66-Rohdaten!Z48</f>
        <v>1.4000000000000012E-2</v>
      </c>
      <c r="V47">
        <f>Rohdaten!AA66-Rohdaten!AA48</f>
        <v>-3.0000000000000027E-3</v>
      </c>
      <c r="W47">
        <f>Rohdaten!AB66-Rohdaten!AB48</f>
        <v>2.0000000000000018E-3</v>
      </c>
      <c r="X47">
        <f>Rohdaten!AC66-Rohdaten!AC48</f>
        <v>-2.0000000000000018E-3</v>
      </c>
      <c r="Y47">
        <f>Rohdaten!AD66-Rohdaten!AD48</f>
        <v>-2.0000000000000018E-3</v>
      </c>
      <c r="Z47">
        <f>Rohdaten!AE66-Rohdaten!AE48</f>
        <v>-3.0000000000000027E-3</v>
      </c>
    </row>
    <row r="48" spans="1:26">
      <c r="B48">
        <f>Rohdaten!D67-Rohdaten!D49</f>
        <v>-1.0000000000000009E-3</v>
      </c>
      <c r="C48">
        <f>Rohdaten!E67-Rohdaten!E49</f>
        <v>0</v>
      </c>
      <c r="D48">
        <f>Rohdaten!F67-Rohdaten!F49</f>
        <v>0</v>
      </c>
      <c r="E48">
        <f>Rohdaten!G67-Rohdaten!G49</f>
        <v>2.0000000000000018E-3</v>
      </c>
      <c r="F48">
        <f>Rohdaten!H67-Rohdaten!H49</f>
        <v>-1.0000000000000009E-3</v>
      </c>
      <c r="G48">
        <f>Rohdaten!I67-Rohdaten!I49</f>
        <v>0.18099999999999994</v>
      </c>
      <c r="H48">
        <f>Rohdaten!J67-Rohdaten!J49</f>
        <v>7.9999999999999793E-3</v>
      </c>
      <c r="I48">
        <f>Rohdaten!K67-Rohdaten!K49</f>
        <v>-1.0000000000000009E-3</v>
      </c>
      <c r="J48">
        <f>Rohdaten!L67-Rohdaten!L49</f>
        <v>0</v>
      </c>
      <c r="K48">
        <f>Rohdaten!M67-Rohdaten!M49</f>
        <v>2.0000000000000018E-3</v>
      </c>
      <c r="L48">
        <f>Rohdaten!N67-Rohdaten!N49</f>
        <v>-1.0000000000000009E-3</v>
      </c>
      <c r="M48">
        <f>Rohdaten!O67-Rohdaten!O49</f>
        <v>1.0000000000000009E-2</v>
      </c>
      <c r="O48">
        <f>Rohdaten!T67-Rohdaten!T49</f>
        <v>-2.0000000000000018E-3</v>
      </c>
      <c r="P48">
        <f>Rohdaten!U67-Rohdaten!U49</f>
        <v>-1.0000000000000009E-3</v>
      </c>
      <c r="Q48">
        <f>Rohdaten!V67-Rohdaten!V49</f>
        <v>-1.0000000000000009E-3</v>
      </c>
      <c r="R48">
        <f>Rohdaten!W67-Rohdaten!W49</f>
        <v>-2.0000000000000018E-3</v>
      </c>
      <c r="S48">
        <f>Rohdaten!X67-Rohdaten!X49</f>
        <v>-2.0000000000000018E-3</v>
      </c>
      <c r="T48">
        <f>Rohdaten!Y67-Rohdaten!Y49</f>
        <v>-2.0000000000000018E-3</v>
      </c>
      <c r="U48">
        <f>Rohdaten!Z67-Rohdaten!Z49</f>
        <v>-2.0000000000000018E-3</v>
      </c>
      <c r="V48">
        <f>Rohdaten!AA67-Rohdaten!AA49</f>
        <v>1.0000000000000009E-3</v>
      </c>
      <c r="W48">
        <f>Rohdaten!AB67-Rohdaten!AB49</f>
        <v>-1.0000000000000009E-3</v>
      </c>
      <c r="X48">
        <f>Rohdaten!AC67-Rohdaten!AC49</f>
        <v>0</v>
      </c>
      <c r="Y48">
        <f>Rohdaten!AD67-Rohdaten!AD49</f>
        <v>-3.0000000000000027E-3</v>
      </c>
      <c r="Z48">
        <f>Rohdaten!AE67-Rohdaten!AE49</f>
        <v>8.0000000000000071E-3</v>
      </c>
    </row>
    <row r="49" spans="1:26">
      <c r="B49">
        <f>Rohdaten!D68-Rohdaten!D50</f>
        <v>-1.0000000000000009E-3</v>
      </c>
      <c r="C49">
        <f>Rohdaten!E68-Rohdaten!E50</f>
        <v>-1.0000000000000009E-3</v>
      </c>
      <c r="D49">
        <f>Rohdaten!F68-Rohdaten!F50</f>
        <v>-1.0000000000000009E-3</v>
      </c>
      <c r="E49">
        <f>Rohdaten!G68-Rohdaten!G50</f>
        <v>2.0000000000000018E-3</v>
      </c>
      <c r="F49">
        <f>Rohdaten!H68-Rohdaten!H50</f>
        <v>-1.0000000000000009E-3</v>
      </c>
      <c r="G49">
        <f>Rohdaten!I68-Rohdaten!I50</f>
        <v>1.0000000000000009E-2</v>
      </c>
      <c r="H49">
        <f>Rohdaten!J68-Rohdaten!J50</f>
        <v>0</v>
      </c>
      <c r="I49">
        <f>Rohdaten!K68-Rohdaten!K50</f>
        <v>-1.0000000000000009E-3</v>
      </c>
      <c r="J49">
        <f>Rohdaten!L68-Rohdaten!L50</f>
        <v>0</v>
      </c>
      <c r="K49">
        <f>Rohdaten!M68-Rohdaten!M50</f>
        <v>1.0000000000000009E-3</v>
      </c>
      <c r="L49">
        <f>Rohdaten!N68-Rohdaten!N50</f>
        <v>-1.0000000000000009E-3</v>
      </c>
      <c r="M49">
        <f>Rohdaten!O68-Rohdaten!O50</f>
        <v>6.0000000000000053E-3</v>
      </c>
      <c r="O49">
        <f>Rohdaten!T68-Rohdaten!T50</f>
        <v>-2.0000000000000018E-3</v>
      </c>
      <c r="P49">
        <f>Rohdaten!U68-Rohdaten!U50</f>
        <v>-3.0000000000000027E-3</v>
      </c>
      <c r="Q49">
        <f>Rohdaten!V68-Rohdaten!V50</f>
        <v>-2.0000000000000018E-3</v>
      </c>
      <c r="R49">
        <f>Rohdaten!W68-Rohdaten!W50</f>
        <v>0</v>
      </c>
      <c r="S49">
        <f>Rohdaten!X68-Rohdaten!X50</f>
        <v>-2.0000000000000018E-3</v>
      </c>
      <c r="T49">
        <f>Rohdaten!Y68-Rohdaten!Y50</f>
        <v>-2.0000000000000018E-3</v>
      </c>
      <c r="U49">
        <f>Rohdaten!Z68-Rohdaten!Z50</f>
        <v>-1.0000000000000009E-3</v>
      </c>
      <c r="V49">
        <f>Rohdaten!AA68-Rohdaten!AA50</f>
        <v>-2.0000000000000018E-3</v>
      </c>
      <c r="W49">
        <f>Rohdaten!AB68-Rohdaten!AB50</f>
        <v>-2.0000000000000018E-3</v>
      </c>
      <c r="X49">
        <f>Rohdaten!AC68-Rohdaten!AC50</f>
        <v>-2.0000000000000018E-3</v>
      </c>
      <c r="Y49">
        <f>Rohdaten!AD68-Rohdaten!AD50</f>
        <v>-2.0000000000000018E-3</v>
      </c>
      <c r="Z49">
        <f>Rohdaten!AE68-Rohdaten!AE50</f>
        <v>5.0000000000000044E-3</v>
      </c>
    </row>
    <row r="50" spans="1:26">
      <c r="B50">
        <f>Rohdaten!D69-Rohdaten!D51</f>
        <v>-1.0000000000000009E-3</v>
      </c>
      <c r="C50">
        <f>Rohdaten!E69-Rohdaten!E51</f>
        <v>-1.0000000000000009E-3</v>
      </c>
      <c r="D50">
        <f>Rohdaten!F69-Rohdaten!F51</f>
        <v>0</v>
      </c>
      <c r="E50">
        <f>Rohdaten!G69-Rohdaten!G51</f>
        <v>-4.0000000000000036E-3</v>
      </c>
      <c r="F50">
        <f>Rohdaten!H69-Rohdaten!H51</f>
        <v>0.1100000000000001</v>
      </c>
      <c r="G50">
        <f>Rohdaten!I69-Rohdaten!I51</f>
        <v>0</v>
      </c>
      <c r="H50">
        <f>Rohdaten!J69-Rohdaten!J51</f>
        <v>5.0000000000000044E-3</v>
      </c>
      <c r="I50">
        <f>Rohdaten!K69-Rohdaten!K51</f>
        <v>4.3999999999999984E-2</v>
      </c>
      <c r="J50">
        <f>Rohdaten!L69-Rohdaten!L51</f>
        <v>1.0000000000000009E-3</v>
      </c>
      <c r="K50">
        <f>Rohdaten!M69-Rohdaten!M51</f>
        <v>1.0000000000000009E-3</v>
      </c>
      <c r="L50">
        <f>Rohdaten!N69-Rohdaten!N51</f>
        <v>1.0000000000000009E-3</v>
      </c>
      <c r="M50">
        <f>Rohdaten!O69-Rohdaten!O51</f>
        <v>6.0000000000000053E-3</v>
      </c>
      <c r="O50">
        <f>Rohdaten!T69-Rohdaten!T51</f>
        <v>0.28500000000000003</v>
      </c>
      <c r="P50">
        <f>Rohdaten!U69-Rohdaten!U51</f>
        <v>-2.0000000000000018E-3</v>
      </c>
      <c r="Q50">
        <f>Rohdaten!V69-Rohdaten!V51</f>
        <v>-1.0000000000000009E-3</v>
      </c>
      <c r="R50">
        <f>Rohdaten!W69-Rohdaten!W51</f>
        <v>-2.0000000000000018E-3</v>
      </c>
      <c r="S50">
        <f>Rohdaten!X69-Rohdaten!X51</f>
        <v>1.0000000000000009E-3</v>
      </c>
      <c r="T50">
        <f>Rohdaten!Y69-Rohdaten!Y51</f>
        <v>-1.0000000000000009E-3</v>
      </c>
      <c r="U50">
        <f>Rohdaten!Z69-Rohdaten!Z51</f>
        <v>-9.9999999999997313E-4</v>
      </c>
      <c r="V50">
        <f>Rohdaten!AA69-Rohdaten!AA51</f>
        <v>-1.0000000000000009E-3</v>
      </c>
      <c r="W50">
        <f>Rohdaten!AB69-Rohdaten!AB51</f>
        <v>-1.0000000000000009E-3</v>
      </c>
      <c r="X50">
        <f>Rohdaten!AC69-Rohdaten!AC51</f>
        <v>0</v>
      </c>
      <c r="Y50">
        <f>Rohdaten!AD69-Rohdaten!AD51</f>
        <v>-2.0000000000000018E-3</v>
      </c>
      <c r="Z50">
        <f>Rohdaten!AE69-Rohdaten!AE51</f>
        <v>-3.0000000000000027E-3</v>
      </c>
    </row>
    <row r="51" spans="1:26">
      <c r="B51">
        <f>Rohdaten!D70-Rohdaten!D52</f>
        <v>-1.0000000000000009E-3</v>
      </c>
      <c r="C51">
        <f>Rohdaten!E70-Rohdaten!E52</f>
        <v>-9.9999999999998701E-4</v>
      </c>
      <c r="D51">
        <f>Rohdaten!F70-Rohdaten!F52</f>
        <v>0</v>
      </c>
      <c r="E51">
        <f>Rohdaten!G70-Rohdaten!G52</f>
        <v>-3.0000000000000027E-3</v>
      </c>
      <c r="F51">
        <f>Rohdaten!H70-Rohdaten!H52</f>
        <v>7.0000000000000062E-3</v>
      </c>
      <c r="G51">
        <f>Rohdaten!I70-Rohdaten!I52</f>
        <v>-1.0000000000000009E-3</v>
      </c>
      <c r="H51">
        <f>Rohdaten!J70-Rohdaten!J52</f>
        <v>-1.0000000000000009E-3</v>
      </c>
      <c r="I51">
        <f>Rohdaten!K70-Rohdaten!K52</f>
        <v>1.5999999999999986E-2</v>
      </c>
      <c r="J51">
        <f>Rohdaten!L70-Rohdaten!L52</f>
        <v>0</v>
      </c>
      <c r="K51">
        <f>Rohdaten!M70-Rohdaten!M52</f>
        <v>0</v>
      </c>
      <c r="L51">
        <f>Rohdaten!N70-Rohdaten!N52</f>
        <v>-1.0000000000000009E-3</v>
      </c>
      <c r="M51">
        <f>Rohdaten!O70-Rohdaten!O52</f>
        <v>-3.0000000000000027E-3</v>
      </c>
      <c r="O51">
        <f>Rohdaten!T70-Rohdaten!T52</f>
        <v>5.9000000000000025E-2</v>
      </c>
      <c r="P51">
        <f>Rohdaten!U70-Rohdaten!U52</f>
        <v>-1.0000000000000009E-3</v>
      </c>
      <c r="Q51">
        <f>Rohdaten!V70-Rohdaten!V52</f>
        <v>-1.0000000000000009E-3</v>
      </c>
      <c r="R51">
        <f>Rohdaten!W70-Rohdaten!W52</f>
        <v>-1.0000000000000009E-3</v>
      </c>
      <c r="S51">
        <f>Rohdaten!X70-Rohdaten!X52</f>
        <v>0</v>
      </c>
      <c r="T51">
        <f>Rohdaten!Y70-Rohdaten!Y52</f>
        <v>-1.9999999999999879E-3</v>
      </c>
      <c r="U51">
        <f>Rohdaten!Z70-Rohdaten!Z52</f>
        <v>-1.0000000000000009E-3</v>
      </c>
      <c r="V51">
        <f>Rohdaten!AA70-Rohdaten!AA52</f>
        <v>-9.9999999999998701E-4</v>
      </c>
      <c r="W51">
        <f>Rohdaten!AB70-Rohdaten!AB52</f>
        <v>-2.0000000000000018E-3</v>
      </c>
      <c r="X51">
        <f>Rohdaten!AC70-Rohdaten!AC52</f>
        <v>-1.0000000000000009E-3</v>
      </c>
      <c r="Y51">
        <f>Rohdaten!AD70-Rohdaten!AD52</f>
        <v>-2.0000000000000018E-3</v>
      </c>
      <c r="Z51">
        <f>Rohdaten!AE70-Rohdaten!AE52</f>
        <v>-1.0000000000000009E-3</v>
      </c>
    </row>
    <row r="52" spans="1:26">
      <c r="B52">
        <f>Rohdaten!D71-Rohdaten!D53</f>
        <v>1.100000000000001E-2</v>
      </c>
      <c r="C52">
        <f>Rohdaten!E71-Rohdaten!E53</f>
        <v>4.0000000000000036E-3</v>
      </c>
      <c r="D52">
        <f>Rohdaten!F71-Rohdaten!F53</f>
        <v>-1.0000000000000009E-3</v>
      </c>
      <c r="E52">
        <f>Rohdaten!G71-Rohdaten!G53</f>
        <v>0</v>
      </c>
      <c r="F52">
        <f>Rohdaten!H71-Rohdaten!H53</f>
        <v>-3.0000000000000027E-3</v>
      </c>
      <c r="G52">
        <f>Rohdaten!I71-Rohdaten!I53</f>
        <v>6.0000000000000053E-3</v>
      </c>
      <c r="H52">
        <f>Rohdaten!J71-Rohdaten!J53</f>
        <v>2.0000000000000018E-3</v>
      </c>
      <c r="I52">
        <f>Rohdaten!K71-Rohdaten!K53</f>
        <v>8.4000000000000019E-2</v>
      </c>
      <c r="J52">
        <f>Rohdaten!L71-Rohdaten!L53</f>
        <v>0.21499999999999997</v>
      </c>
      <c r="K52">
        <f>Rohdaten!M71-Rohdaten!M53</f>
        <v>-1.0000000000000009E-3</v>
      </c>
      <c r="L52">
        <f>Rohdaten!N71-Rohdaten!N53</f>
        <v>3.0000000000000027E-3</v>
      </c>
      <c r="M52">
        <f>Rohdaten!O71-Rohdaten!O53</f>
        <v>0</v>
      </c>
      <c r="O52">
        <f>Rohdaten!T71-Rohdaten!T53</f>
        <v>-1.0000000000000009E-3</v>
      </c>
      <c r="P52">
        <f>Rohdaten!U71-Rohdaten!U53</f>
        <v>-2.0000000000000018E-3</v>
      </c>
      <c r="Q52">
        <f>Rohdaten!V71-Rohdaten!V53</f>
        <v>2.1000000000000019E-2</v>
      </c>
      <c r="R52">
        <f>Rohdaten!W71-Rohdaten!W53</f>
        <v>3.1E-2</v>
      </c>
      <c r="S52">
        <f>Rohdaten!X71-Rohdaten!X53</f>
        <v>-3.0000000000000027E-3</v>
      </c>
      <c r="T52">
        <f>Rohdaten!Y71-Rohdaten!Y53</f>
        <v>6.0000000000000053E-3</v>
      </c>
      <c r="U52">
        <f>Rohdaten!Z71-Rohdaten!Z53</f>
        <v>1.0000000000000009E-3</v>
      </c>
      <c r="V52">
        <f>Rohdaten!AA71-Rohdaten!AA53</f>
        <v>-1.0000000000000009E-3</v>
      </c>
      <c r="W52">
        <f>Rohdaten!AB71-Rohdaten!AB53</f>
        <v>-2.0000000000000018E-3</v>
      </c>
      <c r="X52">
        <f>Rohdaten!AC71-Rohdaten!AC53</f>
        <v>0.37799999999999989</v>
      </c>
      <c r="Y52">
        <f>Rohdaten!AD71-Rohdaten!AD53</f>
        <v>-2.0000000000000018E-3</v>
      </c>
      <c r="Z52">
        <f>Rohdaten!AE71-Rohdaten!AE53</f>
        <v>-2.0000000000000018E-3</v>
      </c>
    </row>
    <row r="53" spans="1:26">
      <c r="B53">
        <f>Rohdaten!D72-Rohdaten!D54</f>
        <v>6.0000000000000053E-3</v>
      </c>
      <c r="C53">
        <f>Rohdaten!E72-Rohdaten!E54</f>
        <v>0</v>
      </c>
      <c r="D53">
        <f>Rohdaten!F72-Rohdaten!F54</f>
        <v>-1.0000000000000009E-3</v>
      </c>
      <c r="E53">
        <f>Rohdaten!G72-Rohdaten!G54</f>
        <v>0</v>
      </c>
      <c r="F53">
        <f>Rohdaten!H72-Rohdaten!H54</f>
        <v>-2.0000000000000018E-3</v>
      </c>
      <c r="G53">
        <f>Rohdaten!I72-Rohdaten!I54</f>
        <v>-1.0000000000000009E-3</v>
      </c>
      <c r="H53">
        <f>Rohdaten!J72-Rohdaten!J54</f>
        <v>0</v>
      </c>
      <c r="I53">
        <f>Rohdaten!K72-Rohdaten!K54</f>
        <v>1.7999999999999988E-2</v>
      </c>
      <c r="J53">
        <f>Rohdaten!L72-Rohdaten!L54</f>
        <v>3.4999999999999976E-2</v>
      </c>
      <c r="K53">
        <f>Rohdaten!M72-Rohdaten!M54</f>
        <v>-1.0000000000000009E-3</v>
      </c>
      <c r="L53">
        <f>Rohdaten!N72-Rohdaten!N54</f>
        <v>1.0000000000000009E-3</v>
      </c>
      <c r="M53">
        <f>Rohdaten!O72-Rohdaten!O54</f>
        <v>-1.0000000000000009E-3</v>
      </c>
      <c r="O53">
        <f>Rohdaten!T72-Rohdaten!T54</f>
        <v>-2.0000000000000018E-3</v>
      </c>
      <c r="P53">
        <f>Rohdaten!U72-Rohdaten!U54</f>
        <v>-1.0000000000000009E-3</v>
      </c>
      <c r="Q53">
        <f>Rohdaten!V72-Rohdaten!V54</f>
        <v>7.0000000000000062E-3</v>
      </c>
      <c r="R53">
        <f>Rohdaten!W72-Rohdaten!W54</f>
        <v>8.0000000000000071E-3</v>
      </c>
      <c r="S53">
        <f>Rohdaten!X72-Rohdaten!X54</f>
        <v>-2.0000000000000018E-3</v>
      </c>
      <c r="T53">
        <f>Rohdaten!Y72-Rohdaten!Y54</f>
        <v>-2.0000000000000018E-3</v>
      </c>
      <c r="U53">
        <f>Rohdaten!Z72-Rohdaten!Z54</f>
        <v>-1.0000000000000009E-3</v>
      </c>
      <c r="V53">
        <f>Rohdaten!AA72-Rohdaten!AA54</f>
        <v>-2.9999999999999888E-3</v>
      </c>
      <c r="W53">
        <f>Rohdaten!AB72-Rohdaten!AB54</f>
        <v>-2.0000000000000018E-3</v>
      </c>
      <c r="X53">
        <f>Rohdaten!AC72-Rohdaten!AC54</f>
        <v>0.10200000000000004</v>
      </c>
      <c r="Y53">
        <f>Rohdaten!AD72-Rohdaten!AD54</f>
        <v>-1.0000000000000009E-3</v>
      </c>
      <c r="Z53">
        <f>Rohdaten!AE72-Rohdaten!AE54</f>
        <v>-2.0000000000000018E-3</v>
      </c>
    </row>
    <row r="55" spans="1:26">
      <c r="A55" s="37"/>
      <c r="B55" s="37" t="s">
        <v>20</v>
      </c>
      <c r="C55" s="37" t="s">
        <v>18</v>
      </c>
      <c r="D55" s="37" t="s">
        <v>21</v>
      </c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>
      <c r="B56">
        <f>Rohdaten!D75-Rohdaten!D57</f>
        <v>-7.0000000000000062E-3</v>
      </c>
      <c r="C56">
        <f>Rohdaten!E75-Rohdaten!E57</f>
        <v>1.3999999999999957E-2</v>
      </c>
      <c r="D56">
        <f>Rohdaten!F75-Rohdaten!F57</f>
        <v>-6.0000000000000053E-3</v>
      </c>
      <c r="E56">
        <f>Rohdaten!G75-Rohdaten!G57</f>
        <v>-6.0000000000000053E-3</v>
      </c>
      <c r="F56">
        <f>Rohdaten!H75-Rohdaten!H57</f>
        <v>-6.9999999999999785E-3</v>
      </c>
      <c r="G56">
        <f>Rohdaten!I75-Rohdaten!I57</f>
        <v>-3.0000000000000027E-3</v>
      </c>
      <c r="H56">
        <f>Rohdaten!J75-Rohdaten!J57</f>
        <v>-9.000000000000008E-3</v>
      </c>
      <c r="I56">
        <f>Rohdaten!K75-Rohdaten!K57</f>
        <v>6.7999999999999949E-2</v>
      </c>
      <c r="J56">
        <f>Rohdaten!L75-Rohdaten!L57</f>
        <v>-5.9999999999999776E-3</v>
      </c>
      <c r="K56">
        <f>Rohdaten!M75-Rohdaten!M57</f>
        <v>9.9999999999999978E-2</v>
      </c>
      <c r="L56">
        <f>Rohdaten!N75-Rohdaten!N57</f>
        <v>0</v>
      </c>
      <c r="M56">
        <f>Rohdaten!O75-Rohdaten!O57</f>
        <v>-0.11399999999999993</v>
      </c>
      <c r="O56">
        <f>Rohdaten!T75-Rohdaten!T57</f>
        <v>-8.0000000000000071E-3</v>
      </c>
      <c r="P56">
        <f>Rohdaten!U75-Rohdaten!U57</f>
        <v>1.7000000000000015E-2</v>
      </c>
      <c r="Q56">
        <f>Rohdaten!V75-Rohdaten!V57</f>
        <v>-6.0000000000000053E-3</v>
      </c>
      <c r="R56">
        <f>Rohdaten!W75-Rohdaten!W57</f>
        <v>-9.7999999999999865E-2</v>
      </c>
      <c r="S56">
        <f>Rohdaten!X75-Rohdaten!X57</f>
        <v>-7.0000000000000062E-3</v>
      </c>
      <c r="T56">
        <f>Rohdaten!Y75-Rohdaten!Y57</f>
        <v>0.65999999999999992</v>
      </c>
      <c r="U56">
        <f>Rohdaten!Z75-Rohdaten!Z57</f>
        <v>-1.0000000000000009E-2</v>
      </c>
      <c r="V56">
        <f>Rohdaten!AA75-Rohdaten!AA57</f>
        <v>2.0000000000000018E-2</v>
      </c>
      <c r="W56">
        <f>Rohdaten!AB75-Rohdaten!AB57</f>
        <v>-1.100000000000001E-2</v>
      </c>
      <c r="X56">
        <f>Rohdaten!AC75-Rohdaten!AC57</f>
        <v>7.4999999999999956E-2</v>
      </c>
      <c r="Y56">
        <f>Rohdaten!AD75-Rohdaten!AD57</f>
        <v>-1.4000000000000012E-2</v>
      </c>
      <c r="Z56">
        <f>Rohdaten!AE75-Rohdaten!AE57</f>
        <v>-0.33499999999999996</v>
      </c>
    </row>
    <row r="57" spans="1:26">
      <c r="B57">
        <f>Rohdaten!D76-Rohdaten!D58</f>
        <v>-5.9999999999999915E-3</v>
      </c>
      <c r="C57">
        <f>Rohdaten!E76-Rohdaten!E58</f>
        <v>-2.0000000000000018E-3</v>
      </c>
      <c r="D57">
        <f>Rohdaten!F76-Rohdaten!F58</f>
        <v>-6.0000000000000053E-3</v>
      </c>
      <c r="E57">
        <f>Rohdaten!G76-Rohdaten!G58</f>
        <v>-6.0000000000000053E-3</v>
      </c>
      <c r="F57">
        <f>Rohdaten!H76-Rohdaten!H58</f>
        <v>-7.0000000000000062E-3</v>
      </c>
      <c r="G57">
        <f>Rohdaten!I76-Rohdaten!I58</f>
        <v>-4.9999999999999906E-3</v>
      </c>
      <c r="H57">
        <f>Rohdaten!J76-Rohdaten!J58</f>
        <v>-9.000000000000008E-3</v>
      </c>
      <c r="I57">
        <f>Rohdaten!K76-Rohdaten!K58</f>
        <v>3.7999999999999978E-2</v>
      </c>
      <c r="J57">
        <f>Rohdaten!L76-Rohdaten!L58</f>
        <v>-6.9999999999999785E-3</v>
      </c>
      <c r="K57">
        <f>Rohdaten!M76-Rohdaten!M58</f>
        <v>7.0000000000000007E-2</v>
      </c>
      <c r="L57">
        <f>Rohdaten!N76-Rohdaten!N58</f>
        <v>-2.0000000000000018E-3</v>
      </c>
      <c r="M57">
        <f>Rohdaten!O76-Rohdaten!O58</f>
        <v>-6.2E-2</v>
      </c>
      <c r="O57">
        <f>Rohdaten!T76-Rohdaten!T58</f>
        <v>-6.9999999999999923E-3</v>
      </c>
      <c r="P57">
        <f>Rohdaten!U76-Rohdaten!U58</f>
        <v>-2.0000000000000018E-3</v>
      </c>
      <c r="Q57">
        <f>Rohdaten!V76-Rohdaten!V58</f>
        <v>-7.0000000000000062E-3</v>
      </c>
      <c r="R57">
        <f>Rohdaten!W76-Rohdaten!W58</f>
        <v>-7.1999999999999953E-2</v>
      </c>
      <c r="S57">
        <f>Rohdaten!X76-Rohdaten!X58</f>
        <v>-6.9999999999999923E-3</v>
      </c>
      <c r="T57">
        <f>Rohdaten!Y76-Rohdaten!Y58</f>
        <v>0.20800000000000002</v>
      </c>
      <c r="U57">
        <f>Rohdaten!Z76-Rohdaten!Z58</f>
        <v>-9.000000000000008E-3</v>
      </c>
      <c r="V57">
        <f>Rohdaten!AA76-Rohdaten!AA58</f>
        <v>1.100000000000001E-2</v>
      </c>
      <c r="W57">
        <f>Rohdaten!AB76-Rohdaten!AB58</f>
        <v>-1.0000000000000009E-2</v>
      </c>
      <c r="X57">
        <f>Rohdaten!AC76-Rohdaten!AC58</f>
        <v>3.999999999999998E-2</v>
      </c>
      <c r="Y57">
        <f>Rohdaten!AD76-Rohdaten!AD58</f>
        <v>-1.2000000000000011E-2</v>
      </c>
      <c r="Z57">
        <f>Rohdaten!AE76-Rohdaten!AE58</f>
        <v>-0.20600000000000002</v>
      </c>
    </row>
    <row r="58" spans="1:26">
      <c r="B58">
        <f>Rohdaten!D77-Rohdaten!D59</f>
        <v>-6.0000000000000053E-3</v>
      </c>
      <c r="C58">
        <f>Rohdaten!E77-Rohdaten!E59</f>
        <v>6.3000000000000056E-2</v>
      </c>
      <c r="D58">
        <f>Rohdaten!F77-Rohdaten!F59</f>
        <v>6.1999999999999944E-2</v>
      </c>
      <c r="E58">
        <f>Rohdaten!G77-Rohdaten!G59</f>
        <v>0</v>
      </c>
      <c r="F58">
        <f>Rohdaten!H77-Rohdaten!H59</f>
        <v>-2.0000000000000018E-3</v>
      </c>
      <c r="G58">
        <f>Rohdaten!I77-Rohdaten!I59</f>
        <v>-7.0000000000000062E-3</v>
      </c>
      <c r="H58">
        <f>Rohdaten!J77-Rohdaten!J59</f>
        <v>-6.0000000000000053E-3</v>
      </c>
      <c r="I58">
        <f>Rohdaten!K77-Rohdaten!K59</f>
        <v>9.6000000000000085E-2</v>
      </c>
      <c r="J58">
        <f>Rohdaten!L77-Rohdaten!L59</f>
        <v>-4.0000000000000036E-3</v>
      </c>
      <c r="K58">
        <f>Rohdaten!M77-Rohdaten!M59</f>
        <v>-8.9999999999999802E-3</v>
      </c>
      <c r="L58">
        <f>Rohdaten!N77-Rohdaten!N59</f>
        <v>9.2999999999999972E-2</v>
      </c>
      <c r="M58">
        <f>Rohdaten!O77-Rohdaten!O59</f>
        <v>0.40800000000000003</v>
      </c>
      <c r="O58">
        <f>Rohdaten!T77-Rohdaten!T59</f>
        <v>-1.0000000000000009E-2</v>
      </c>
      <c r="P58">
        <f>Rohdaten!U77-Rohdaten!U59</f>
        <v>8.6999999999999966E-2</v>
      </c>
      <c r="Q58">
        <f>Rohdaten!V77-Rohdaten!V59</f>
        <v>4.7999999999999932E-2</v>
      </c>
      <c r="R58">
        <f>Rohdaten!W77-Rohdaten!W59</f>
        <v>-1.0000000000000009E-3</v>
      </c>
      <c r="S58">
        <f>Rohdaten!X77-Rohdaten!X59</f>
        <v>-1.0000000000000009E-3</v>
      </c>
      <c r="T58">
        <f>Rohdaten!Y77-Rohdaten!Y59</f>
        <v>0.87399999999999989</v>
      </c>
      <c r="U58">
        <f>Rohdaten!Z77-Rohdaten!Z59</f>
        <v>-7.0000000000000062E-3</v>
      </c>
      <c r="V58">
        <f>Rohdaten!AA77-Rohdaten!AA59</f>
        <v>9.5999999999999974E-2</v>
      </c>
      <c r="W58">
        <f>Rohdaten!AB77-Rohdaten!AB59</f>
        <v>-6.0000000000000053E-3</v>
      </c>
      <c r="X58">
        <f>Rohdaten!AC77-Rohdaten!AC59</f>
        <v>-1.0000000000000009E-2</v>
      </c>
      <c r="Y58">
        <f>Rohdaten!AD77-Rohdaten!AD59</f>
        <v>0.10599999999999998</v>
      </c>
      <c r="Z58">
        <f>Rohdaten!AE77-Rohdaten!AE59</f>
        <v>-7.0000000000000062E-3</v>
      </c>
    </row>
    <row r="59" spans="1:26">
      <c r="B59">
        <f>Rohdaten!D78-Rohdaten!D60</f>
        <v>-7.0000000000000062E-3</v>
      </c>
      <c r="C59">
        <f>Rohdaten!E78-Rohdaten!E60</f>
        <v>4.2999999999999983E-2</v>
      </c>
      <c r="D59">
        <f>Rohdaten!F78-Rohdaten!F60</f>
        <v>3.7000000000000033E-2</v>
      </c>
      <c r="E59">
        <f>Rohdaten!G78-Rohdaten!G60</f>
        <v>-3.0000000000000027E-3</v>
      </c>
      <c r="F59">
        <f>Rohdaten!H78-Rohdaten!H60</f>
        <v>-6.0000000000000053E-3</v>
      </c>
      <c r="G59">
        <f>Rohdaten!I78-Rohdaten!I60</f>
        <v>-7.0000000000000062E-3</v>
      </c>
      <c r="H59">
        <f>Rohdaten!J78-Rohdaten!J60</f>
        <v>-8.0000000000000071E-3</v>
      </c>
      <c r="I59">
        <f>Rohdaten!K78-Rohdaten!K60</f>
        <v>6.0999999999999999E-2</v>
      </c>
      <c r="J59">
        <f>Rohdaten!L78-Rohdaten!L60</f>
        <v>-6.0000000000000053E-3</v>
      </c>
      <c r="K59">
        <f>Rohdaten!M78-Rohdaten!M60</f>
        <v>-1.0999999999999982E-2</v>
      </c>
      <c r="L59">
        <f>Rohdaten!N78-Rohdaten!N60</f>
        <v>6.5999999999999948E-2</v>
      </c>
      <c r="M59">
        <f>Rohdaten!O78-Rohdaten!O60</f>
        <v>8.2000000000000017E-2</v>
      </c>
      <c r="O59">
        <f>Rohdaten!T78-Rohdaten!T60</f>
        <v>-9.000000000000008E-3</v>
      </c>
      <c r="P59">
        <f>Rohdaten!U78-Rohdaten!U60</f>
        <v>5.8999999999999997E-2</v>
      </c>
      <c r="Q59">
        <f>Rohdaten!V78-Rohdaten!V60</f>
        <v>2.3999999999999966E-2</v>
      </c>
      <c r="R59">
        <f>Rohdaten!W78-Rohdaten!W60</f>
        <v>-3.9999999999999897E-3</v>
      </c>
      <c r="S59">
        <f>Rohdaten!X78-Rohdaten!X60</f>
        <v>-6.0000000000000053E-3</v>
      </c>
      <c r="T59">
        <f>Rohdaten!Y78-Rohdaten!Y60</f>
        <v>0.22700000000000001</v>
      </c>
      <c r="U59">
        <f>Rohdaten!Z78-Rohdaten!Z60</f>
        <v>-9.000000000000008E-3</v>
      </c>
      <c r="V59">
        <f>Rohdaten!AA78-Rohdaten!AA60</f>
        <v>5.7999999999999968E-2</v>
      </c>
      <c r="W59">
        <f>Rohdaten!AB78-Rohdaten!AB60</f>
        <v>-7.0000000000000062E-3</v>
      </c>
      <c r="X59">
        <f>Rohdaten!AC78-Rohdaten!AC60</f>
        <v>-1.3000000000000012E-2</v>
      </c>
      <c r="Y59">
        <f>Rohdaten!AD78-Rohdaten!AD60</f>
        <v>7.400000000000001E-2</v>
      </c>
      <c r="Z59">
        <f>Rohdaten!AE78-Rohdaten!AE60</f>
        <v>-7.0000000000000062E-3</v>
      </c>
    </row>
    <row r="60" spans="1:26">
      <c r="B60">
        <f>Rohdaten!D79-Rohdaten!D61</f>
        <v>-5.0000000000000044E-3</v>
      </c>
      <c r="C60">
        <f>Rohdaten!E79-Rohdaten!E61</f>
        <v>0</v>
      </c>
      <c r="D60">
        <f>Rohdaten!F79-Rohdaten!F61</f>
        <v>-5.0000000000000044E-3</v>
      </c>
      <c r="E60">
        <f>Rohdaten!G79-Rohdaten!G61</f>
        <v>4.9999999999999933E-2</v>
      </c>
      <c r="F60">
        <f>Rohdaten!H79-Rohdaten!H61</f>
        <v>-3.0000000000000027E-3</v>
      </c>
      <c r="G60">
        <f>Rohdaten!I79-Rohdaten!I61</f>
        <v>1.100000000000001E-2</v>
      </c>
      <c r="H60">
        <f>Rohdaten!J79-Rohdaten!J61</f>
        <v>2.300000000000002E-2</v>
      </c>
      <c r="I60">
        <f>Rohdaten!K79-Rohdaten!K61</f>
        <v>1.6000000000000014E-2</v>
      </c>
      <c r="J60">
        <f>Rohdaten!L79-Rohdaten!L61</f>
        <v>2.0000000000000018E-3</v>
      </c>
      <c r="K60">
        <f>Rohdaten!M79-Rohdaten!M61</f>
        <v>0.14699999999999991</v>
      </c>
      <c r="L60">
        <f>Rohdaten!N79-Rohdaten!N61</f>
        <v>-1.0000000000000009E-3</v>
      </c>
      <c r="M60">
        <f>Rohdaten!O79-Rohdaten!O61</f>
        <v>-1.6000000000000014E-2</v>
      </c>
      <c r="O60">
        <f>Rohdaten!T79-Rohdaten!T61</f>
        <v>-3.5999999999999976E-2</v>
      </c>
      <c r="P60">
        <f>Rohdaten!U79-Rohdaten!U61</f>
        <v>0</v>
      </c>
      <c r="Q60">
        <f>Rohdaten!V79-Rohdaten!V61</f>
        <v>-5.0000000000000044E-3</v>
      </c>
      <c r="R60">
        <f>Rohdaten!W79-Rohdaten!W61</f>
        <v>4.2999999999999927E-2</v>
      </c>
      <c r="S60">
        <f>Rohdaten!X79-Rohdaten!X61</f>
        <v>-3.0000000000000027E-3</v>
      </c>
      <c r="T60">
        <f>Rohdaten!Y79-Rohdaten!Y61</f>
        <v>1.0000000000000009E-2</v>
      </c>
      <c r="U60">
        <f>Rohdaten!Z79-Rohdaten!Z61</f>
        <v>0.15900000000000003</v>
      </c>
      <c r="V60">
        <f>Rohdaten!AA79-Rohdaten!AA61</f>
        <v>1.8000000000000016E-2</v>
      </c>
      <c r="W60">
        <f>Rohdaten!AB79-Rohdaten!AB61</f>
        <v>1.0000000000000009E-2</v>
      </c>
      <c r="X60">
        <f>Rohdaten!AC79-Rohdaten!AC61</f>
        <v>0.16099999999999992</v>
      </c>
      <c r="Y60">
        <f>Rohdaten!AD79-Rohdaten!AD61</f>
        <v>-1.7999999999999988E-2</v>
      </c>
      <c r="Z60">
        <f>Rohdaten!AE79-Rohdaten!AE61</f>
        <v>-1.8000000000000016E-2</v>
      </c>
    </row>
    <row r="61" spans="1:26">
      <c r="B61">
        <f>Rohdaten!D80-Rohdaten!D62</f>
        <v>-7.0000000000000062E-3</v>
      </c>
      <c r="C61">
        <f>Rohdaten!E80-Rohdaten!E62</f>
        <v>-4.9999999999999906E-3</v>
      </c>
      <c r="D61">
        <f>Rohdaten!F80-Rohdaten!F62</f>
        <v>-5.0000000000000044E-3</v>
      </c>
      <c r="E61">
        <f>Rohdaten!G80-Rohdaten!G62</f>
        <v>2.0000000000000018E-2</v>
      </c>
      <c r="F61">
        <f>Rohdaten!H80-Rohdaten!H62</f>
        <v>-4.0000000000000036E-3</v>
      </c>
      <c r="G61">
        <f>Rohdaten!I80-Rohdaten!I62</f>
        <v>1.0000000000000009E-3</v>
      </c>
      <c r="H61">
        <f>Rohdaten!J80-Rohdaten!J62</f>
        <v>1.7000000000000015E-2</v>
      </c>
      <c r="I61">
        <f>Rohdaten!K80-Rohdaten!K62</f>
        <v>-8.0000000000000071E-3</v>
      </c>
      <c r="J61">
        <f>Rohdaten!L80-Rohdaten!L62</f>
        <v>-9.000000000000008E-3</v>
      </c>
      <c r="K61">
        <f>Rohdaten!M80-Rohdaten!M62</f>
        <v>9.9000000000000032E-2</v>
      </c>
      <c r="L61">
        <f>Rohdaten!N80-Rohdaten!N62</f>
        <v>-6.0000000000000053E-3</v>
      </c>
      <c r="M61">
        <f>Rohdaten!O80-Rohdaten!O62</f>
        <v>-1.3999999999999985E-2</v>
      </c>
      <c r="O61">
        <f>Rohdaten!T80-Rohdaten!T62</f>
        <v>-1.4999999999999986E-2</v>
      </c>
      <c r="P61">
        <f>Rohdaten!U80-Rohdaten!U62</f>
        <v>-4.0000000000000036E-3</v>
      </c>
      <c r="Q61">
        <f>Rohdaten!V80-Rohdaten!V62</f>
        <v>-5.0000000000000044E-3</v>
      </c>
      <c r="R61">
        <f>Rohdaten!W80-Rohdaten!W62</f>
        <v>1.100000000000001E-2</v>
      </c>
      <c r="S61">
        <f>Rohdaten!X80-Rohdaten!X62</f>
        <v>-3.0000000000000027E-3</v>
      </c>
      <c r="T61">
        <f>Rohdaten!Y80-Rohdaten!Y62</f>
        <v>2.0000000000000018E-3</v>
      </c>
      <c r="U61">
        <f>Rohdaten!Z80-Rohdaten!Z62</f>
        <v>3.3000000000000029E-2</v>
      </c>
      <c r="V61">
        <f>Rohdaten!AA80-Rohdaten!AA62</f>
        <v>-1.2000000000000011E-2</v>
      </c>
      <c r="W61">
        <f>Rohdaten!AB80-Rohdaten!AB62</f>
        <v>7.0000000000000062E-3</v>
      </c>
      <c r="X61">
        <f>Rohdaten!AC80-Rohdaten!AC62</f>
        <v>0.11000000000000004</v>
      </c>
      <c r="Y61">
        <f>Rohdaten!AD80-Rohdaten!AD62</f>
        <v>-1.3000000000000012E-2</v>
      </c>
      <c r="Z61">
        <f>Rohdaten!AE80-Rohdaten!AE62</f>
        <v>-1.4999999999999986E-2</v>
      </c>
    </row>
    <row r="62" spans="1:26">
      <c r="B62">
        <f>Rohdaten!D81-Rohdaten!D63</f>
        <v>-0.1319999999999999</v>
      </c>
      <c r="C62">
        <f>Rohdaten!E81-Rohdaten!E63</f>
        <v>-4.0000000000000036E-3</v>
      </c>
      <c r="D62">
        <f>Rohdaten!F81-Rohdaten!F63</f>
        <v>-4.0000000000000036E-3</v>
      </c>
      <c r="E62">
        <f>Rohdaten!G81-Rohdaten!G63</f>
        <v>-3.7000000000000005E-2</v>
      </c>
      <c r="F62">
        <f>Rohdaten!H81-Rohdaten!H63</f>
        <v>0.503</v>
      </c>
      <c r="G62">
        <f>Rohdaten!I81-Rohdaten!I63</f>
        <v>-9.9999999999997313E-4</v>
      </c>
      <c r="H62">
        <f>Rohdaten!J81-Rohdaten!J63</f>
        <v>-4.0000000000000036E-3</v>
      </c>
      <c r="I62">
        <f>Rohdaten!K81-Rohdaten!K63</f>
        <v>-1.999999999999974E-3</v>
      </c>
      <c r="J62">
        <f>Rohdaten!L81-Rohdaten!L63</f>
        <v>-4.9999999999999767E-3</v>
      </c>
      <c r="K62">
        <f>Rohdaten!M81-Rohdaten!M63</f>
        <v>-2.0999999999999991E-2</v>
      </c>
      <c r="L62">
        <f>Rohdaten!N81-Rohdaten!N63</f>
        <v>7.999999999999996E-2</v>
      </c>
      <c r="M62">
        <f>Rohdaten!O81-Rohdaten!O63</f>
        <v>-2.4999999999999967E-2</v>
      </c>
      <c r="O62">
        <f>Rohdaten!T81-Rohdaten!T63</f>
        <v>-0.43899999999999995</v>
      </c>
      <c r="P62">
        <f>Rohdaten!U81-Rohdaten!U63</f>
        <v>-5.0000000000000044E-3</v>
      </c>
      <c r="Q62">
        <f>Rohdaten!V81-Rohdaten!V63</f>
        <v>-4.0000000000000036E-3</v>
      </c>
      <c r="R62">
        <f>Rohdaten!W81-Rohdaten!W63</f>
        <v>-5.9999999999999776E-3</v>
      </c>
      <c r="S62">
        <f>Rohdaten!X81-Rohdaten!X63</f>
        <v>-4.0000000000000036E-3</v>
      </c>
      <c r="T62">
        <f>Rohdaten!Y81-Rohdaten!Y63</f>
        <v>0</v>
      </c>
      <c r="U62">
        <f>Rohdaten!Z81-Rohdaten!Z63</f>
        <v>-7.0000000000000062E-3</v>
      </c>
      <c r="V62">
        <f>Rohdaten!AA81-Rohdaten!AA63</f>
        <v>-2.0000000000000018E-3</v>
      </c>
      <c r="W62">
        <f>Rohdaten!AB81-Rohdaten!AB63</f>
        <v>-5.0000000000000044E-3</v>
      </c>
      <c r="X62">
        <f>Rohdaten!AC81-Rohdaten!AC63</f>
        <v>-6.9999999999999785E-3</v>
      </c>
      <c r="Y62">
        <f>Rohdaten!AD81-Rohdaten!AD63</f>
        <v>9.8000000000000087E-2</v>
      </c>
      <c r="Z62">
        <f>Rohdaten!AE81-Rohdaten!AE63</f>
        <v>-1.7999999999999988E-2</v>
      </c>
    </row>
    <row r="63" spans="1:26">
      <c r="B63">
        <f>Rohdaten!D82-Rohdaten!D64</f>
        <v>-5.099999999999999E-2</v>
      </c>
      <c r="C63">
        <f>Rohdaten!E82-Rohdaten!E64</f>
        <v>-3.9999999999999897E-3</v>
      </c>
      <c r="D63">
        <f>Rohdaten!F82-Rohdaten!F64</f>
        <v>-4.0000000000000036E-3</v>
      </c>
      <c r="E63">
        <f>Rohdaten!G82-Rohdaten!G64</f>
        <v>-1.6999999999999987E-2</v>
      </c>
      <c r="F63">
        <f>Rohdaten!H82-Rohdaten!H64</f>
        <v>0.10200000000000001</v>
      </c>
      <c r="G63">
        <f>Rohdaten!I82-Rohdaten!I64</f>
        <v>-7.0000000000000062E-3</v>
      </c>
      <c r="H63">
        <f>Rohdaten!J82-Rohdaten!J64</f>
        <v>-5.0000000000000044E-3</v>
      </c>
      <c r="I63">
        <f>Rohdaten!K82-Rohdaten!K64</f>
        <v>-5.0000000000000044E-3</v>
      </c>
      <c r="J63">
        <f>Rohdaten!L82-Rohdaten!L64</f>
        <v>-7.0000000000000062E-3</v>
      </c>
      <c r="K63">
        <f>Rohdaten!M82-Rohdaten!M64</f>
        <v>-1.2999999999999984E-2</v>
      </c>
      <c r="L63">
        <f>Rohdaten!N82-Rohdaten!N64</f>
        <v>5.3000000000000047E-2</v>
      </c>
      <c r="M63">
        <f>Rohdaten!O82-Rohdaten!O64</f>
        <v>-1.2000000000000011E-2</v>
      </c>
      <c r="O63">
        <f>Rohdaten!T82-Rohdaten!T64</f>
        <v>-0.16700000000000004</v>
      </c>
      <c r="P63">
        <f>Rohdaten!U82-Rohdaten!U64</f>
        <v>-5.0000000000000044E-3</v>
      </c>
      <c r="Q63">
        <f>Rohdaten!V82-Rohdaten!V64</f>
        <v>-4.0000000000000036E-3</v>
      </c>
      <c r="R63">
        <f>Rohdaten!W82-Rohdaten!W64</f>
        <v>-5.0000000000000044E-3</v>
      </c>
      <c r="S63">
        <f>Rohdaten!X82-Rohdaten!X64</f>
        <v>-3.9999999999999758E-3</v>
      </c>
      <c r="T63">
        <f>Rohdaten!Y82-Rohdaten!Y64</f>
        <v>-7.0000000000000062E-3</v>
      </c>
      <c r="U63">
        <f>Rohdaten!Z82-Rohdaten!Z64</f>
        <v>-7.0000000000000062E-3</v>
      </c>
      <c r="V63">
        <f>Rohdaten!AA82-Rohdaten!AA64</f>
        <v>-4.9999999999999767E-3</v>
      </c>
      <c r="W63">
        <f>Rohdaten!AB82-Rohdaten!AB64</f>
        <v>-6.0000000000000053E-3</v>
      </c>
      <c r="X63">
        <f>Rohdaten!AC82-Rohdaten!AC64</f>
        <v>-8.0000000000000071E-3</v>
      </c>
      <c r="Y63">
        <f>Rohdaten!AD82-Rohdaten!AD64</f>
        <v>6.3E-2</v>
      </c>
      <c r="Z63">
        <f>Rohdaten!AE82-Rohdaten!AE64</f>
        <v>-1.4000000000000012E-2</v>
      </c>
    </row>
    <row r="64" spans="1:26">
      <c r="B64">
        <f>Rohdaten!D83-Rohdaten!D65</f>
        <v>-0.22700000000000009</v>
      </c>
      <c r="C64">
        <f>Rohdaten!E83-Rohdaten!E65</f>
        <v>-4.0000000000000036E-3</v>
      </c>
      <c r="D64">
        <f>Rohdaten!F83-Rohdaten!F65</f>
        <v>-4.0000000000000036E-3</v>
      </c>
      <c r="E64">
        <f>Rohdaten!G83-Rohdaten!G65</f>
        <v>4.0000000000000036E-3</v>
      </c>
      <c r="F64">
        <f>Rohdaten!H83-Rohdaten!H65</f>
        <v>-3.0000000000000027E-3</v>
      </c>
      <c r="G64">
        <f>Rohdaten!I83-Rohdaten!I65</f>
        <v>1.0000000000000009E-3</v>
      </c>
      <c r="H64">
        <f>Rohdaten!J83-Rohdaten!J65</f>
        <v>-4.0000000000000036E-3</v>
      </c>
      <c r="I64">
        <f>Rohdaten!K83-Rohdaten!K65</f>
        <v>-3.9999999999999758E-3</v>
      </c>
      <c r="J64">
        <f>Rohdaten!L83-Rohdaten!L65</f>
        <v>9.5000000000000084E-2</v>
      </c>
      <c r="K64">
        <f>Rohdaten!M83-Rohdaten!M65</f>
        <v>-3.0000000000000027E-3</v>
      </c>
      <c r="L64">
        <f>Rohdaten!N83-Rohdaten!N65</f>
        <v>-6.9999999999999785E-3</v>
      </c>
      <c r="M64">
        <f>Rohdaten!O83-Rohdaten!O65</f>
        <v>-1.0000000000000009E-3</v>
      </c>
      <c r="O64">
        <f>Rohdaten!T83-Rohdaten!T65</f>
        <v>-3.400000000000003E-2</v>
      </c>
      <c r="P64">
        <f>Rohdaten!U83-Rohdaten!U65</f>
        <v>-5.0000000000000044E-3</v>
      </c>
      <c r="Q64">
        <f>Rohdaten!V83-Rohdaten!V65</f>
        <v>-3.5000000000000003E-2</v>
      </c>
      <c r="R64">
        <f>Rohdaten!W83-Rohdaten!W65</f>
        <v>2.0000000000000018E-3</v>
      </c>
      <c r="S64">
        <f>Rohdaten!X83-Rohdaten!X65</f>
        <v>-3.9999999999999758E-3</v>
      </c>
      <c r="T64">
        <f>Rohdaten!Y83-Rohdaten!Y65</f>
        <v>-6.0000000000000053E-3</v>
      </c>
      <c r="U64">
        <f>Rohdaten!Z83-Rohdaten!Z65</f>
        <v>-6.0000000000000053E-3</v>
      </c>
      <c r="V64">
        <f>Rohdaten!AA83-Rohdaten!AA65</f>
        <v>-6.0000000000000053E-3</v>
      </c>
      <c r="W64">
        <f>Rohdaten!AB83-Rohdaten!AB65</f>
        <v>0.11099999999999999</v>
      </c>
      <c r="X64">
        <f>Rohdaten!AC83-Rohdaten!AC65</f>
        <v>-7.0000000000000062E-3</v>
      </c>
      <c r="Y64">
        <f>Rohdaten!AD83-Rohdaten!AD65</f>
        <v>-7.0000000000000062E-3</v>
      </c>
      <c r="Z64">
        <f>Rohdaten!AE83-Rohdaten!AE65</f>
        <v>-7.0000000000000062E-3</v>
      </c>
    </row>
    <row r="65" spans="2:26">
      <c r="B65">
        <f>Rohdaten!D84-Rohdaten!D66</f>
        <v>-0.14900000000000002</v>
      </c>
      <c r="C65">
        <f>Rohdaten!E84-Rohdaten!E66</f>
        <v>-4.9999999999999906E-3</v>
      </c>
      <c r="D65">
        <f>Rohdaten!F84-Rohdaten!F66</f>
        <v>-5.0000000000000044E-3</v>
      </c>
      <c r="E65">
        <f>Rohdaten!G84-Rohdaten!G66</f>
        <v>-3.0000000000000027E-3</v>
      </c>
      <c r="F65">
        <f>Rohdaten!H84-Rohdaten!H66</f>
        <v>-4.0000000000000036E-3</v>
      </c>
      <c r="G65">
        <f>Rohdaten!I84-Rohdaten!I66</f>
        <v>-1.0000000000000009E-3</v>
      </c>
      <c r="H65">
        <f>Rohdaten!J84-Rohdaten!J66</f>
        <v>-5.0000000000000044E-3</v>
      </c>
      <c r="I65">
        <f>Rohdaten!K84-Rohdaten!K66</f>
        <v>-5.0000000000000044E-3</v>
      </c>
      <c r="J65">
        <f>Rohdaten!L84-Rohdaten!L66</f>
        <v>5.3999999999999992E-2</v>
      </c>
      <c r="K65">
        <f>Rohdaten!M84-Rohdaten!M66</f>
        <v>-5.0000000000000044E-3</v>
      </c>
      <c r="L65">
        <f>Rohdaten!N84-Rohdaten!N66</f>
        <v>-7.0000000000000062E-3</v>
      </c>
      <c r="M65">
        <f>Rohdaten!O84-Rohdaten!O66</f>
        <v>-4.0000000000000036E-3</v>
      </c>
      <c r="O65">
        <f>Rohdaten!T84-Rohdaten!T66</f>
        <v>4.500000000000004E-2</v>
      </c>
      <c r="P65">
        <f>Rohdaten!U84-Rohdaten!U66</f>
        <v>-4.0000000000000036E-3</v>
      </c>
      <c r="Q65">
        <f>Rohdaten!V84-Rohdaten!V66</f>
        <v>-1.5999999999999986E-2</v>
      </c>
      <c r="R65">
        <f>Rohdaten!W84-Rohdaten!W66</f>
        <v>-5.0000000000000044E-3</v>
      </c>
      <c r="S65">
        <f>Rohdaten!X84-Rohdaten!X66</f>
        <v>-5.0000000000000044E-3</v>
      </c>
      <c r="T65">
        <f>Rohdaten!Y84-Rohdaten!Y66</f>
        <v>-6.9999999999999785E-3</v>
      </c>
      <c r="U65">
        <f>Rohdaten!Z84-Rohdaten!Z66</f>
        <v>-1.3000000000000012E-2</v>
      </c>
      <c r="V65">
        <f>Rohdaten!AA84-Rohdaten!AA66</f>
        <v>-6.0000000000000053E-3</v>
      </c>
      <c r="W65">
        <f>Rohdaten!AB84-Rohdaten!AB66</f>
        <v>0.06</v>
      </c>
      <c r="X65">
        <f>Rohdaten!AC84-Rohdaten!AC66</f>
        <v>-6.9999999999999785E-3</v>
      </c>
      <c r="Y65">
        <f>Rohdaten!AD84-Rohdaten!AD66</f>
        <v>-8.0000000000000071E-3</v>
      </c>
      <c r="Z65">
        <f>Rohdaten!AE84-Rohdaten!AE66</f>
        <v>-7.0000000000000062E-3</v>
      </c>
    </row>
    <row r="66" spans="2:26">
      <c r="B66">
        <f>Rohdaten!D85-Rohdaten!D67</f>
        <v>-6.0000000000000053E-3</v>
      </c>
      <c r="C66">
        <f>Rohdaten!E85-Rohdaten!E67</f>
        <v>-3.9999999999999758E-3</v>
      </c>
      <c r="D66">
        <f>Rohdaten!F85-Rohdaten!F67</f>
        <v>-5.0000000000000044E-3</v>
      </c>
      <c r="E66">
        <f>Rohdaten!G85-Rohdaten!G67</f>
        <v>-4.0000000000000036E-3</v>
      </c>
      <c r="F66">
        <f>Rohdaten!H85-Rohdaten!H67</f>
        <v>-5.0000000000000044E-3</v>
      </c>
      <c r="G66">
        <f>Rohdaten!I85-Rohdaten!I67</f>
        <v>0.25800000000000001</v>
      </c>
      <c r="H66">
        <f>Rohdaten!J85-Rohdaten!J67</f>
        <v>-4.9999999999999767E-3</v>
      </c>
      <c r="I66">
        <f>Rohdaten!K85-Rohdaten!K67</f>
        <v>-4.0000000000000036E-3</v>
      </c>
      <c r="J66">
        <f>Rohdaten!L85-Rohdaten!L67</f>
        <v>-5.0000000000000044E-3</v>
      </c>
      <c r="K66">
        <f>Rohdaten!M85-Rohdaten!M67</f>
        <v>2.0000000000000018E-3</v>
      </c>
      <c r="L66">
        <f>Rohdaten!N85-Rohdaten!N67</f>
        <v>-5.0000000000000044E-3</v>
      </c>
      <c r="M66">
        <f>Rohdaten!O85-Rohdaten!O67</f>
        <v>2.5999999999999968E-2</v>
      </c>
      <c r="O66">
        <f>Rohdaten!T85-Rohdaten!T67</f>
        <v>-4.9999999999999767E-3</v>
      </c>
      <c r="P66">
        <f>Rohdaten!U85-Rohdaten!U67</f>
        <v>-5.0000000000000044E-3</v>
      </c>
      <c r="Q66">
        <f>Rohdaten!V85-Rohdaten!V67</f>
        <v>-5.0000000000000044E-3</v>
      </c>
      <c r="R66">
        <f>Rohdaten!W85-Rohdaten!W67</f>
        <v>-3.0000000000000027E-3</v>
      </c>
      <c r="S66">
        <f>Rohdaten!X85-Rohdaten!X67</f>
        <v>-5.0000000000000044E-3</v>
      </c>
      <c r="T66">
        <f>Rohdaten!Y85-Rohdaten!Y67</f>
        <v>-4.9999999999999767E-3</v>
      </c>
      <c r="U66">
        <f>Rohdaten!Z85-Rohdaten!Z67</f>
        <v>-4.0000000000000036E-3</v>
      </c>
      <c r="V66">
        <f>Rohdaten!AA85-Rohdaten!AA67</f>
        <v>3.6999999999999977E-2</v>
      </c>
      <c r="W66">
        <f>Rohdaten!AB85-Rohdaten!AB67</f>
        <v>-4.9999999999999767E-3</v>
      </c>
      <c r="X66">
        <f>Rohdaten!AC85-Rohdaten!AC67</f>
        <v>2.0000000000000018E-3</v>
      </c>
      <c r="Y66">
        <f>Rohdaten!AD85-Rohdaten!AD67</f>
        <v>-5.0000000000000044E-3</v>
      </c>
      <c r="Z66">
        <f>Rohdaten!AE85-Rohdaten!AE67</f>
        <v>2.5999999999999968E-2</v>
      </c>
    </row>
    <row r="67" spans="2:26">
      <c r="B67">
        <f>Rohdaten!D86-Rohdaten!D68</f>
        <v>-6.9999999999999923E-3</v>
      </c>
      <c r="C67">
        <f>Rohdaten!E86-Rohdaten!E68</f>
        <v>-3.9999999999999897E-3</v>
      </c>
      <c r="D67">
        <f>Rohdaten!F86-Rohdaten!F68</f>
        <v>-4.0000000000000036E-3</v>
      </c>
      <c r="E67">
        <f>Rohdaten!G86-Rohdaten!G68</f>
        <v>-5.0000000000000044E-3</v>
      </c>
      <c r="F67">
        <f>Rohdaten!H86-Rohdaten!H68</f>
        <v>-5.0000000000000044E-3</v>
      </c>
      <c r="G67">
        <f>Rohdaten!I86-Rohdaten!I68</f>
        <v>4.2999999999999983E-2</v>
      </c>
      <c r="H67">
        <f>Rohdaten!J86-Rohdaten!J68</f>
        <v>-3.0000000000000027E-3</v>
      </c>
      <c r="I67">
        <f>Rohdaten!K86-Rohdaten!K68</f>
        <v>-5.0000000000000044E-3</v>
      </c>
      <c r="J67">
        <f>Rohdaten!L86-Rohdaten!L68</f>
        <v>-6.0000000000000053E-3</v>
      </c>
      <c r="K67">
        <f>Rohdaten!M86-Rohdaten!M68</f>
        <v>-5.0000000000000044E-3</v>
      </c>
      <c r="L67">
        <f>Rohdaten!N86-Rohdaten!N68</f>
        <v>-6.0000000000000053E-3</v>
      </c>
      <c r="M67">
        <f>Rohdaten!O86-Rohdaten!O68</f>
        <v>1.4999999999999986E-2</v>
      </c>
      <c r="O67">
        <f>Rohdaten!T86-Rohdaten!T68</f>
        <v>-5.9999999999999915E-3</v>
      </c>
      <c r="P67">
        <f>Rohdaten!U86-Rohdaten!U68</f>
        <v>-4.0000000000000036E-3</v>
      </c>
      <c r="Q67">
        <f>Rohdaten!V86-Rohdaten!V68</f>
        <v>-5.0000000000000044E-3</v>
      </c>
      <c r="R67">
        <f>Rohdaten!W86-Rohdaten!W68</f>
        <v>-4.0000000000000036E-3</v>
      </c>
      <c r="S67">
        <f>Rohdaten!X86-Rohdaten!X68</f>
        <v>-5.0000000000000044E-3</v>
      </c>
      <c r="T67">
        <f>Rohdaten!Y86-Rohdaten!Y68</f>
        <v>-4.9999999999999906E-3</v>
      </c>
      <c r="U67">
        <f>Rohdaten!Z86-Rohdaten!Z68</f>
        <v>-4.9999999999999906E-3</v>
      </c>
      <c r="V67">
        <f>Rohdaten!AA86-Rohdaten!AA68</f>
        <v>3.9999999999999758E-3</v>
      </c>
      <c r="W67">
        <f>Rohdaten!AB86-Rohdaten!AB68</f>
        <v>-5.0000000000000044E-3</v>
      </c>
      <c r="X67">
        <f>Rohdaten!AC86-Rohdaten!AC68</f>
        <v>-4.9999999999999906E-3</v>
      </c>
      <c r="Y67">
        <f>Rohdaten!AD86-Rohdaten!AD68</f>
        <v>-5.0000000000000044E-3</v>
      </c>
      <c r="Z67">
        <f>Rohdaten!AE86-Rohdaten!AE68</f>
        <v>1.3999999999999985E-2</v>
      </c>
    </row>
    <row r="68" spans="2:26">
      <c r="B68">
        <f>Rohdaten!D87-Rohdaten!D69</f>
        <v>-6.0000000000000053E-3</v>
      </c>
      <c r="C68">
        <f>Rohdaten!E87-Rohdaten!E69</f>
        <v>-4.0000000000000036E-3</v>
      </c>
      <c r="D68">
        <f>Rohdaten!F87-Rohdaten!F69</f>
        <v>-1.0000000000000009E-3</v>
      </c>
      <c r="E68">
        <f>Rohdaten!G87-Rohdaten!G69</f>
        <v>-4.0000000000000036E-3</v>
      </c>
      <c r="F68">
        <f>Rohdaten!H87-Rohdaten!H69</f>
        <v>0.52500000000000002</v>
      </c>
      <c r="G68">
        <f>Rohdaten!I87-Rohdaten!I69</f>
        <v>-2.0000000000000018E-3</v>
      </c>
      <c r="H68">
        <f>Rohdaten!J87-Rohdaten!J69</f>
        <v>0.126</v>
      </c>
      <c r="I68">
        <f>Rohdaten!K87-Rohdaten!K69</f>
        <v>4.0000000000000036E-3</v>
      </c>
      <c r="J68">
        <f>Rohdaten!L87-Rohdaten!L69</f>
        <v>-3.9999999999999758E-3</v>
      </c>
      <c r="K68">
        <f>Rohdaten!M87-Rohdaten!M69</f>
        <v>-3.0000000000000027E-3</v>
      </c>
      <c r="L68">
        <f>Rohdaten!N87-Rohdaten!N69</f>
        <v>-1.0000000000000009E-3</v>
      </c>
      <c r="M68">
        <f>Rohdaten!O87-Rohdaten!O69</f>
        <v>-0.1339999999999999</v>
      </c>
      <c r="O68">
        <f>Rohdaten!T87-Rohdaten!T69</f>
        <v>0.61599999999999988</v>
      </c>
      <c r="P68">
        <f>Rohdaten!U87-Rohdaten!U69</f>
        <v>-3.0000000000000027E-3</v>
      </c>
      <c r="Q68">
        <f>Rohdaten!V87-Rohdaten!V69</f>
        <v>-2.0000000000000018E-3</v>
      </c>
      <c r="R68">
        <f>Rohdaten!W87-Rohdaten!W69</f>
        <v>-5.0000000000000044E-3</v>
      </c>
      <c r="S68">
        <f>Rohdaten!X87-Rohdaten!X69</f>
        <v>9.000000000000008E-3</v>
      </c>
      <c r="T68">
        <f>Rohdaten!Y87-Rohdaten!Y69</f>
        <v>-1.0000000000000009E-3</v>
      </c>
      <c r="U68">
        <f>Rohdaten!Z87-Rohdaten!Z69</f>
        <v>-5.0000000000000044E-3</v>
      </c>
      <c r="V68">
        <f>Rohdaten!AA87-Rohdaten!AA69</f>
        <v>-4.0000000000000036E-3</v>
      </c>
      <c r="W68">
        <f>Rohdaten!AB87-Rohdaten!AB69</f>
        <v>-2.0000000000000018E-3</v>
      </c>
      <c r="X68">
        <f>Rohdaten!AC87-Rohdaten!AC69</f>
        <v>-8.0000000000000071E-3</v>
      </c>
      <c r="Y68">
        <f>Rohdaten!AD87-Rohdaten!AD69</f>
        <v>-4.0000000000000036E-3</v>
      </c>
      <c r="Z68">
        <f>Rohdaten!AE87-Rohdaten!AE69</f>
        <v>-7.0000000000000062E-3</v>
      </c>
    </row>
    <row r="69" spans="2:26">
      <c r="B69">
        <f>Rohdaten!D88-Rohdaten!D70</f>
        <v>-5.9999999999999915E-3</v>
      </c>
      <c r="C69">
        <f>Rohdaten!E88-Rohdaten!E70</f>
        <v>-4.0000000000000036E-3</v>
      </c>
      <c r="D69">
        <f>Rohdaten!F88-Rohdaten!F70</f>
        <v>-2.0000000000000018E-3</v>
      </c>
      <c r="E69">
        <f>Rohdaten!G88-Rohdaten!G70</f>
        <v>-4.0000000000000036E-3</v>
      </c>
      <c r="F69">
        <f>Rohdaten!H88-Rohdaten!H70</f>
        <v>0.14800000000000002</v>
      </c>
      <c r="G69">
        <f>Rohdaten!I88-Rohdaten!I70</f>
        <v>-2.0000000000000018E-3</v>
      </c>
      <c r="H69">
        <f>Rohdaten!J88-Rohdaten!J70</f>
        <v>3.0000000000000027E-3</v>
      </c>
      <c r="I69">
        <f>Rohdaten!K88-Rohdaten!K70</f>
        <v>-2.0000000000000018E-3</v>
      </c>
      <c r="J69">
        <f>Rohdaten!L88-Rohdaten!L70</f>
        <v>-3.0000000000000027E-3</v>
      </c>
      <c r="K69">
        <f>Rohdaten!M88-Rohdaten!M70</f>
        <v>-4.0000000000000036E-3</v>
      </c>
      <c r="L69">
        <f>Rohdaten!N88-Rohdaten!N70</f>
        <v>-1.0000000000000009E-3</v>
      </c>
      <c r="M69">
        <f>Rohdaten!O88-Rohdaten!O70</f>
        <v>-7.5999999999999956E-2</v>
      </c>
      <c r="O69">
        <f>Rohdaten!T88-Rohdaten!T70</f>
        <v>0.16599999999999998</v>
      </c>
      <c r="P69">
        <f>Rohdaten!U88-Rohdaten!U70</f>
        <v>-2.9999999999999888E-3</v>
      </c>
      <c r="Q69">
        <f>Rohdaten!V88-Rohdaten!V70</f>
        <v>-3.0000000000000027E-3</v>
      </c>
      <c r="R69">
        <f>Rohdaten!W88-Rohdaten!W70</f>
        <v>-6.0000000000000053E-3</v>
      </c>
      <c r="S69">
        <f>Rohdaten!X88-Rohdaten!X70</f>
        <v>5.0000000000000044E-3</v>
      </c>
      <c r="T69">
        <f>Rohdaten!Y88-Rohdaten!Y70</f>
        <v>0</v>
      </c>
      <c r="U69">
        <f>Rohdaten!Z88-Rohdaten!Z70</f>
        <v>-6.9999999999999923E-3</v>
      </c>
      <c r="V69">
        <f>Rohdaten!AA88-Rohdaten!AA70</f>
        <v>-4.0000000000000036E-3</v>
      </c>
      <c r="W69">
        <f>Rohdaten!AB88-Rohdaten!AB70</f>
        <v>-2.0000000000000018E-3</v>
      </c>
      <c r="X69">
        <f>Rohdaten!AC88-Rohdaten!AC70</f>
        <v>-7.0000000000000062E-3</v>
      </c>
      <c r="Y69">
        <f>Rohdaten!AD88-Rohdaten!AD70</f>
        <v>-5.0000000000000044E-3</v>
      </c>
      <c r="Z69">
        <f>Rohdaten!AE88-Rohdaten!AE70</f>
        <v>-8.0000000000000071E-3</v>
      </c>
    </row>
    <row r="70" spans="2:26">
      <c r="B70">
        <f>Rohdaten!D89-Rohdaten!D71</f>
        <v>3.2999999999999974E-2</v>
      </c>
      <c r="C70">
        <f>Rohdaten!E89-Rohdaten!E71</f>
        <v>0.222</v>
      </c>
      <c r="D70">
        <f>Rohdaten!F89-Rohdaten!F71</f>
        <v>-6.0000000000000053E-3</v>
      </c>
      <c r="E70">
        <f>Rohdaten!G89-Rohdaten!G71</f>
        <v>-4.0000000000000036E-3</v>
      </c>
      <c r="F70">
        <f>Rohdaten!H89-Rohdaten!H71</f>
        <v>-3.999999999999948E-3</v>
      </c>
      <c r="G70">
        <f>Rohdaten!I89-Rohdaten!I71</f>
        <v>3.1000000000000028E-2</v>
      </c>
      <c r="H70">
        <f>Rohdaten!J89-Rohdaten!J71</f>
        <v>5.0000000000000044E-3</v>
      </c>
      <c r="I70">
        <f>Rohdaten!K89-Rohdaten!K71</f>
        <v>0.752</v>
      </c>
      <c r="J70">
        <f>Rohdaten!L89-Rohdaten!L71</f>
        <v>0.252</v>
      </c>
      <c r="K70">
        <f>Rohdaten!M89-Rohdaten!M71</f>
        <v>0</v>
      </c>
      <c r="L70">
        <f>Rohdaten!N89-Rohdaten!N71</f>
        <v>-4.0000000000000036E-3</v>
      </c>
      <c r="M70">
        <f>Rohdaten!O89-Rohdaten!O71</f>
        <v>-7.0000000000000062E-3</v>
      </c>
      <c r="O70">
        <f>Rohdaten!T89-Rohdaten!T71</f>
        <v>-6.0000000000000053E-3</v>
      </c>
      <c r="P70">
        <f>Rohdaten!U89-Rohdaten!U71</f>
        <v>-3.9999999999999758E-3</v>
      </c>
      <c r="Q70">
        <f>Rohdaten!V89-Rohdaten!V71</f>
        <v>1.3999999999999985E-2</v>
      </c>
      <c r="R70">
        <f>Rohdaten!W89-Rohdaten!W71</f>
        <v>2.8999999999999998E-2</v>
      </c>
      <c r="S70">
        <f>Rohdaten!X89-Rohdaten!X71</f>
        <v>-5.0000000000000044E-3</v>
      </c>
      <c r="T70">
        <f>Rohdaten!Y89-Rohdaten!Y71</f>
        <v>3.3000000000000029E-2</v>
      </c>
      <c r="U70">
        <f>Rohdaten!Z89-Rohdaten!Z71</f>
        <v>8.0000000000000071E-3</v>
      </c>
      <c r="V70">
        <f>Rohdaten!AA89-Rohdaten!AA71</f>
        <v>-3.0000000000000027E-3</v>
      </c>
      <c r="W70">
        <f>Rohdaten!AB89-Rohdaten!AB71</f>
        <v>-3.9999999999999758E-3</v>
      </c>
      <c r="X70">
        <f>Rohdaten!AC89-Rohdaten!AC71</f>
        <v>0.11500000000000021</v>
      </c>
      <c r="Y70">
        <f>Rohdaten!AD89-Rohdaten!AD71</f>
        <v>-5.0000000000000044E-3</v>
      </c>
      <c r="Z70">
        <f>Rohdaten!AE89-Rohdaten!AE71</f>
        <v>-5.0000000000000044E-3</v>
      </c>
    </row>
    <row r="71" spans="2:26">
      <c r="B71">
        <f>Rohdaten!D90-Rohdaten!D72</f>
        <v>9.000000000000008E-3</v>
      </c>
      <c r="C71">
        <f>Rohdaten!E90-Rohdaten!E72</f>
        <v>9.4000000000000014E-2</v>
      </c>
      <c r="D71">
        <f>Rohdaten!F90-Rohdaten!F72</f>
        <v>-6.0000000000000053E-3</v>
      </c>
      <c r="E71">
        <f>Rohdaten!G90-Rohdaten!G72</f>
        <v>-5.0000000000000044E-3</v>
      </c>
      <c r="F71">
        <f>Rohdaten!H90-Rohdaten!H72</f>
        <v>-7.0000000000000062E-3</v>
      </c>
      <c r="G71">
        <f>Rohdaten!I90-Rohdaten!I72</f>
        <v>-1.0000000000000009E-3</v>
      </c>
      <c r="H71">
        <f>Rohdaten!J90-Rohdaten!J72</f>
        <v>-3.0000000000000027E-3</v>
      </c>
      <c r="I71">
        <f>Rohdaten!K90-Rohdaten!K72</f>
        <v>0.14800000000000002</v>
      </c>
      <c r="J71">
        <f>Rohdaten!L90-Rohdaten!L72</f>
        <v>7.9000000000000015E-2</v>
      </c>
      <c r="K71">
        <f>Rohdaten!M90-Rohdaten!M72</f>
        <v>-2.0000000000000018E-3</v>
      </c>
      <c r="L71">
        <f>Rohdaten!N90-Rohdaten!N72</f>
        <v>0</v>
      </c>
      <c r="M71">
        <f>Rohdaten!O90-Rohdaten!O72</f>
        <v>-6.0000000000000053E-3</v>
      </c>
      <c r="O71">
        <f>Rohdaten!T90-Rohdaten!T72</f>
        <v>-4.9999999999999906E-3</v>
      </c>
      <c r="P71">
        <f>Rohdaten!U90-Rohdaten!U72</f>
        <v>-4.9999999999999906E-3</v>
      </c>
      <c r="Q71">
        <f>Rohdaten!V90-Rohdaten!V72</f>
        <v>2.0000000000000018E-3</v>
      </c>
      <c r="R71">
        <f>Rohdaten!W90-Rohdaten!W72</f>
        <v>7.9999999999999932E-3</v>
      </c>
      <c r="S71">
        <f>Rohdaten!X90-Rohdaten!X72</f>
        <v>-8.0000000000000071E-3</v>
      </c>
      <c r="T71">
        <f>Rohdaten!Y90-Rohdaten!Y72</f>
        <v>-1.0000000000000009E-3</v>
      </c>
      <c r="U71">
        <f>Rohdaten!Z90-Rohdaten!Z72</f>
        <v>-2.9999999999999888E-3</v>
      </c>
      <c r="V71">
        <f>Rohdaten!AA90-Rohdaten!AA72</f>
        <v>-6.0000000000000053E-3</v>
      </c>
      <c r="W71">
        <f>Rohdaten!AB90-Rohdaten!AB72</f>
        <v>-6.0000000000000053E-3</v>
      </c>
      <c r="X71">
        <f>Rohdaten!AC90-Rohdaten!AC72</f>
        <v>1.2999999999999956E-2</v>
      </c>
      <c r="Y71">
        <f>Rohdaten!AD90-Rohdaten!AD72</f>
        <v>-3.0000000000000027E-3</v>
      </c>
      <c r="Z71">
        <f>Rohdaten!AE90-Rohdaten!AE72</f>
        <v>-3.9999999999999897E-3</v>
      </c>
    </row>
  </sheetData>
  <conditionalFormatting sqref="B2:Z17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0:Z35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8:Z53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6:Z7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scale="4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5"/>
  <sheetViews>
    <sheetView tabSelected="1" topLeftCell="A61" workbookViewId="0">
      <selection activeCell="Q70" sqref="Q70"/>
    </sheetView>
  </sheetViews>
  <sheetFormatPr baseColWidth="10" defaultColWidth="9.140625" defaultRowHeight="15"/>
  <sheetData>
    <row r="1" spans="1:30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O1" t="s">
        <v>14</v>
      </c>
      <c r="P1" s="27">
        <v>72</v>
      </c>
      <c r="Q1" s="1"/>
      <c r="R1" s="2">
        <v>1</v>
      </c>
      <c r="S1" s="2">
        <v>2</v>
      </c>
      <c r="T1" s="2">
        <v>3</v>
      </c>
      <c r="U1" s="2">
        <v>4</v>
      </c>
      <c r="V1" s="2">
        <v>5</v>
      </c>
      <c r="W1" s="2">
        <v>6</v>
      </c>
      <c r="X1" s="2">
        <v>7</v>
      </c>
      <c r="Y1" s="2">
        <v>8</v>
      </c>
      <c r="Z1" s="2">
        <v>9</v>
      </c>
      <c r="AA1" s="2">
        <v>10</v>
      </c>
      <c r="AB1" s="2">
        <v>11</v>
      </c>
      <c r="AC1" s="2">
        <v>12</v>
      </c>
    </row>
    <row r="2" spans="1:30">
      <c r="A2" s="54" t="s">
        <v>2</v>
      </c>
      <c r="B2" s="5">
        <v>0.14499999999999999</v>
      </c>
      <c r="C2" s="7">
        <v>0.41499999999999998</v>
      </c>
      <c r="D2" s="5">
        <v>0.153</v>
      </c>
      <c r="E2" s="5">
        <v>0.154</v>
      </c>
      <c r="F2" s="5">
        <v>0.16700000000000001</v>
      </c>
      <c r="G2" s="5">
        <v>0.16300000000000001</v>
      </c>
      <c r="H2" s="5">
        <v>0.21199999999999999</v>
      </c>
      <c r="I2" s="17">
        <v>0.60099999999999998</v>
      </c>
      <c r="J2" s="5">
        <v>0.20300000000000001</v>
      </c>
      <c r="K2" s="6">
        <v>0.64400000000000002</v>
      </c>
      <c r="L2" s="28">
        <v>0.97099999999999997</v>
      </c>
      <c r="M2" s="19">
        <v>0.45200000000000001</v>
      </c>
      <c r="N2" s="8">
        <v>490</v>
      </c>
      <c r="Q2" s="54" t="s">
        <v>2</v>
      </c>
      <c r="R2" s="5">
        <v>0.14499999999999999</v>
      </c>
      <c r="S2" s="19">
        <v>0.45900000000000002</v>
      </c>
      <c r="T2" s="5">
        <v>0.155</v>
      </c>
      <c r="U2" s="24">
        <v>1.1930000000000001</v>
      </c>
      <c r="V2" s="5">
        <v>0.16200000000000001</v>
      </c>
      <c r="W2" s="29">
        <v>1.2649999999999999</v>
      </c>
      <c r="X2" s="5">
        <v>0.215</v>
      </c>
      <c r="Y2" s="17">
        <v>0.59</v>
      </c>
      <c r="Z2" s="3">
        <v>0.23499999999999999</v>
      </c>
      <c r="AA2" s="6">
        <v>0.70099999999999996</v>
      </c>
      <c r="AB2" s="28">
        <v>0.96</v>
      </c>
      <c r="AC2" s="3">
        <v>0.23400000000000001</v>
      </c>
      <c r="AD2" s="8">
        <v>490</v>
      </c>
    </row>
    <row r="3" spans="1:30">
      <c r="A3" s="55"/>
      <c r="B3" s="10">
        <v>0.1</v>
      </c>
      <c r="C3" s="10">
        <v>0.124</v>
      </c>
      <c r="D3" s="10">
        <v>0.107</v>
      </c>
      <c r="E3" s="10">
        <v>0.106</v>
      </c>
      <c r="F3" s="10">
        <v>0.11799999999999999</v>
      </c>
      <c r="G3" s="10">
        <v>9.8000000000000004E-2</v>
      </c>
      <c r="H3" s="11">
        <v>0.14799999999999999</v>
      </c>
      <c r="I3" s="21">
        <v>0.377</v>
      </c>
      <c r="J3" s="11">
        <v>0.13900000000000001</v>
      </c>
      <c r="K3" s="20">
        <v>0.436</v>
      </c>
      <c r="L3" s="12">
        <v>0.59299999999999997</v>
      </c>
      <c r="M3" s="23">
        <v>0.33400000000000002</v>
      </c>
      <c r="N3" s="8">
        <v>750</v>
      </c>
      <c r="Q3" s="55"/>
      <c r="R3" s="10">
        <v>0.1</v>
      </c>
      <c r="S3" s="11">
        <v>0.127</v>
      </c>
      <c r="T3" s="10">
        <v>0.108</v>
      </c>
      <c r="U3" s="13">
        <v>0.33700000000000002</v>
      </c>
      <c r="V3" s="10">
        <v>0.115</v>
      </c>
      <c r="W3" s="20">
        <v>0.46500000000000002</v>
      </c>
      <c r="X3" s="11">
        <v>0.14799999999999999</v>
      </c>
      <c r="Y3" s="23">
        <v>0.375</v>
      </c>
      <c r="Z3" s="11">
        <v>0.157</v>
      </c>
      <c r="AA3" s="31">
        <v>0.44</v>
      </c>
      <c r="AB3" s="26">
        <v>0.60599999999999998</v>
      </c>
      <c r="AC3" s="15">
        <v>0.19700000000000001</v>
      </c>
      <c r="AD3" s="8">
        <v>750</v>
      </c>
    </row>
    <row r="4" spans="1:30">
      <c r="A4" s="54" t="s">
        <v>3</v>
      </c>
      <c r="B4" s="5">
        <v>0.15</v>
      </c>
      <c r="C4" s="4">
        <v>0.76600000000000001</v>
      </c>
      <c r="D4" s="6">
        <v>0.72299999999999998</v>
      </c>
      <c r="E4" s="5">
        <v>0.17399999999999999</v>
      </c>
      <c r="F4" s="5">
        <v>0.19</v>
      </c>
      <c r="G4" s="5">
        <v>0.21</v>
      </c>
      <c r="H4" s="3">
        <v>0.253</v>
      </c>
      <c r="I4" s="14">
        <v>1.107</v>
      </c>
      <c r="J4" s="3">
        <v>0.25900000000000001</v>
      </c>
      <c r="K4" s="3">
        <v>0.23200000000000001</v>
      </c>
      <c r="L4" s="30">
        <v>0.90300000000000002</v>
      </c>
      <c r="M4" s="4">
        <v>0.77</v>
      </c>
      <c r="N4" s="8">
        <v>490</v>
      </c>
      <c r="Q4" s="54" t="s">
        <v>3</v>
      </c>
      <c r="R4" s="5">
        <v>0.151</v>
      </c>
      <c r="S4" s="6">
        <v>0.71599999999999997</v>
      </c>
      <c r="T4" s="17">
        <v>0.59099999999999997</v>
      </c>
      <c r="U4" s="5">
        <v>0.17799999999999999</v>
      </c>
      <c r="V4" s="5">
        <v>0.192</v>
      </c>
      <c r="W4" s="29">
        <v>1.3029999999999999</v>
      </c>
      <c r="X4" s="3">
        <v>0.26400000000000001</v>
      </c>
      <c r="Y4" s="30">
        <v>0.88200000000000001</v>
      </c>
      <c r="Z4" s="3">
        <v>0.255</v>
      </c>
      <c r="AA4" s="3">
        <v>0.246</v>
      </c>
      <c r="AB4" s="4">
        <v>0.83399999999999996</v>
      </c>
      <c r="AC4" s="3">
        <v>0.313</v>
      </c>
      <c r="AD4" s="8">
        <v>490</v>
      </c>
    </row>
    <row r="5" spans="1:30">
      <c r="A5" s="55"/>
      <c r="B5" s="10">
        <v>0.10199999999999999</v>
      </c>
      <c r="C5" s="18">
        <v>0.47599999999999998</v>
      </c>
      <c r="D5" s="20">
        <v>0.46</v>
      </c>
      <c r="E5" s="10">
        <v>0.109</v>
      </c>
      <c r="F5" s="10">
        <v>0.11899999999999999</v>
      </c>
      <c r="G5" s="11">
        <v>0.14799999999999999</v>
      </c>
      <c r="H5" s="15">
        <v>0.17399999999999999</v>
      </c>
      <c r="I5" s="20">
        <v>0.43099999999999999</v>
      </c>
      <c r="J5" s="15">
        <v>0.17499999999999999</v>
      </c>
      <c r="K5" s="15">
        <v>0.16900000000000001</v>
      </c>
      <c r="L5" s="26">
        <v>0.56899999999999995</v>
      </c>
      <c r="M5" s="23">
        <v>0.318</v>
      </c>
      <c r="N5" s="8">
        <v>750</v>
      </c>
      <c r="Q5" s="55"/>
      <c r="R5" s="10">
        <v>0.104</v>
      </c>
      <c r="S5" s="31">
        <v>0.443</v>
      </c>
      <c r="T5" s="23">
        <v>0.36</v>
      </c>
      <c r="U5" s="10">
        <v>0.114</v>
      </c>
      <c r="V5" s="10">
        <v>0.11899999999999999</v>
      </c>
      <c r="W5" s="31">
        <v>0.44500000000000001</v>
      </c>
      <c r="X5" s="15">
        <v>0.17799999999999999</v>
      </c>
      <c r="Y5" s="22">
        <v>0.28799999999999998</v>
      </c>
      <c r="Z5" s="15">
        <v>0.17399999999999999</v>
      </c>
      <c r="AA5" s="15">
        <v>0.18</v>
      </c>
      <c r="AB5" s="18">
        <v>0.50700000000000001</v>
      </c>
      <c r="AC5" s="15">
        <v>0.20599999999999999</v>
      </c>
      <c r="AD5" s="8">
        <v>750</v>
      </c>
    </row>
    <row r="6" spans="1:30">
      <c r="A6" s="54" t="s">
        <v>4</v>
      </c>
      <c r="B6" s="5">
        <v>0.154</v>
      </c>
      <c r="C6" s="5">
        <v>0.17899999999999999</v>
      </c>
      <c r="D6" s="5">
        <v>0.154</v>
      </c>
      <c r="E6" s="28">
        <v>0.95799999999999996</v>
      </c>
      <c r="F6" s="5">
        <v>0.17799999999999999</v>
      </c>
      <c r="G6" s="7">
        <v>0.39300000000000002</v>
      </c>
      <c r="H6" s="28">
        <v>1.02</v>
      </c>
      <c r="I6" s="6">
        <v>0.64100000000000001</v>
      </c>
      <c r="J6" s="14">
        <v>1.0509999999999999</v>
      </c>
      <c r="K6" s="6">
        <v>0.70199999999999996</v>
      </c>
      <c r="L6" s="5">
        <v>0.224</v>
      </c>
      <c r="M6" s="3">
        <v>0.24</v>
      </c>
      <c r="N6" s="8">
        <v>490</v>
      </c>
      <c r="Q6" s="54" t="s">
        <v>4</v>
      </c>
      <c r="R6" s="3">
        <v>0.25</v>
      </c>
      <c r="S6" s="5">
        <v>0.17499999999999999</v>
      </c>
      <c r="T6" s="5">
        <v>0.154</v>
      </c>
      <c r="U6" s="30">
        <v>0.94199999999999995</v>
      </c>
      <c r="V6" s="5">
        <v>0.17799999999999999</v>
      </c>
      <c r="W6" s="7">
        <v>0.373</v>
      </c>
      <c r="X6" s="24">
        <v>1.1639999999999999</v>
      </c>
      <c r="Y6" s="17">
        <v>0.60799999999999998</v>
      </c>
      <c r="Z6" s="28">
        <v>1.0209999999999999</v>
      </c>
      <c r="AA6" s="6">
        <v>0.70499999999999996</v>
      </c>
      <c r="AB6" s="5">
        <v>0.224</v>
      </c>
      <c r="AC6" s="3">
        <v>0.24</v>
      </c>
      <c r="AD6" s="8">
        <v>490</v>
      </c>
    </row>
    <row r="7" spans="1:30">
      <c r="A7" s="55"/>
      <c r="B7" s="10">
        <v>0.10299999999999999</v>
      </c>
      <c r="C7" s="10">
        <v>9.9000000000000005E-2</v>
      </c>
      <c r="D7" s="10">
        <v>0.107</v>
      </c>
      <c r="E7" s="23">
        <v>0.34</v>
      </c>
      <c r="F7" s="10">
        <v>0.125</v>
      </c>
      <c r="G7" s="9">
        <v>0.22600000000000001</v>
      </c>
      <c r="H7" s="12">
        <v>0.61199999999999999</v>
      </c>
      <c r="I7" s="13">
        <v>0.28199999999999997</v>
      </c>
      <c r="J7" s="12">
        <v>0.6</v>
      </c>
      <c r="K7" s="20">
        <v>0.46100000000000002</v>
      </c>
      <c r="L7" s="11">
        <v>0.15</v>
      </c>
      <c r="M7" s="15">
        <v>0.16400000000000001</v>
      </c>
      <c r="N7" s="8">
        <v>750</v>
      </c>
      <c r="Q7" s="55"/>
      <c r="R7" s="11">
        <v>0.13300000000000001</v>
      </c>
      <c r="S7" s="10">
        <v>9.7000000000000003E-2</v>
      </c>
      <c r="T7" s="10">
        <v>0.108</v>
      </c>
      <c r="U7" s="13">
        <v>0.315</v>
      </c>
      <c r="V7" s="10">
        <v>0.126</v>
      </c>
      <c r="W7" s="9">
        <v>0.216</v>
      </c>
      <c r="X7" s="26">
        <v>0.63300000000000001</v>
      </c>
      <c r="Y7" s="9">
        <v>0.24199999999999999</v>
      </c>
      <c r="Z7" s="26">
        <v>0.59799999999999998</v>
      </c>
      <c r="AA7" s="31">
        <v>0.46400000000000002</v>
      </c>
      <c r="AB7" s="11">
        <v>0.151</v>
      </c>
      <c r="AC7" s="11">
        <v>0.16400000000000001</v>
      </c>
      <c r="AD7" s="8">
        <v>750</v>
      </c>
    </row>
    <row r="8" spans="1:30">
      <c r="A8" s="54" t="s">
        <v>5</v>
      </c>
      <c r="B8" s="14">
        <v>1.119</v>
      </c>
      <c r="C8" s="5">
        <v>0.14399999999999999</v>
      </c>
      <c r="D8" s="5">
        <v>0.15</v>
      </c>
      <c r="E8" s="5">
        <v>0.186</v>
      </c>
      <c r="F8" s="4">
        <v>0.74</v>
      </c>
      <c r="G8" s="3">
        <v>0.23400000000000001</v>
      </c>
      <c r="H8" s="5">
        <v>0.21299999999999999</v>
      </c>
      <c r="I8" s="3">
        <v>0.23300000000000001</v>
      </c>
      <c r="J8" s="5">
        <v>0.20200000000000001</v>
      </c>
      <c r="K8" s="3">
        <v>0.23300000000000001</v>
      </c>
      <c r="L8" s="30">
        <v>0.88700000000000001</v>
      </c>
      <c r="M8" s="3">
        <v>0.27300000000000002</v>
      </c>
      <c r="N8" s="8">
        <v>490</v>
      </c>
      <c r="Q8" s="54" t="s">
        <v>5</v>
      </c>
      <c r="R8" s="28">
        <v>0.96099999999999997</v>
      </c>
      <c r="S8" s="5">
        <v>0.14799999999999999</v>
      </c>
      <c r="T8" s="5">
        <v>0.154</v>
      </c>
      <c r="U8" s="5">
        <v>0.16600000000000001</v>
      </c>
      <c r="V8" s="5">
        <v>0.19800000000000001</v>
      </c>
      <c r="W8" s="3">
        <v>0.23499999999999999</v>
      </c>
      <c r="X8" s="5">
        <v>0.223</v>
      </c>
      <c r="Y8" s="3">
        <v>0.249</v>
      </c>
      <c r="Z8" s="5">
        <v>0.22800000000000001</v>
      </c>
      <c r="AA8" s="5">
        <v>0.23200000000000001</v>
      </c>
      <c r="AB8" s="4">
        <v>0.8</v>
      </c>
      <c r="AC8" s="5">
        <v>0.224</v>
      </c>
      <c r="AD8" s="8">
        <v>490</v>
      </c>
    </row>
    <row r="9" spans="1:30">
      <c r="A9" s="55"/>
      <c r="B9" s="23">
        <v>0.34300000000000003</v>
      </c>
      <c r="C9" s="10">
        <v>0.10100000000000001</v>
      </c>
      <c r="D9" s="10">
        <v>0.104</v>
      </c>
      <c r="E9" s="10">
        <v>0.125</v>
      </c>
      <c r="F9" s="22">
        <v>0.25</v>
      </c>
      <c r="G9" s="11">
        <v>0.153</v>
      </c>
      <c r="H9" s="11">
        <v>0.14899999999999999</v>
      </c>
      <c r="I9" s="11">
        <v>0.161</v>
      </c>
      <c r="J9" s="11">
        <v>0.14099999999999999</v>
      </c>
      <c r="K9" s="11">
        <v>0.16</v>
      </c>
      <c r="L9" s="26">
        <v>0.54500000000000004</v>
      </c>
      <c r="M9" s="15">
        <v>0.17399999999999999</v>
      </c>
      <c r="N9" s="8">
        <v>750</v>
      </c>
      <c r="Q9" s="55"/>
      <c r="R9" s="22">
        <v>0.28499999999999998</v>
      </c>
      <c r="S9" s="10">
        <v>0.104</v>
      </c>
      <c r="T9" s="10">
        <v>0.108</v>
      </c>
      <c r="U9" s="10">
        <v>0.11899999999999999</v>
      </c>
      <c r="V9" s="11">
        <v>0.14000000000000001</v>
      </c>
      <c r="W9" s="11">
        <v>0.154</v>
      </c>
      <c r="X9" s="11">
        <v>0.155</v>
      </c>
      <c r="Y9" s="15">
        <v>0.17</v>
      </c>
      <c r="Z9" s="11">
        <v>0.156</v>
      </c>
      <c r="AA9" s="11">
        <v>0.16</v>
      </c>
      <c r="AB9" s="20">
        <v>0.46800000000000003</v>
      </c>
      <c r="AC9" s="11">
        <v>0.153</v>
      </c>
      <c r="AD9" s="8">
        <v>750</v>
      </c>
    </row>
    <row r="10" spans="1:30">
      <c r="A10" s="54" t="s">
        <v>6</v>
      </c>
      <c r="B10" s="16">
        <v>1.5229999999999999</v>
      </c>
      <c r="C10" s="5">
        <v>0.14199999999999999</v>
      </c>
      <c r="D10" s="5">
        <v>0.15</v>
      </c>
      <c r="E10" s="5">
        <v>0.19800000000000001</v>
      </c>
      <c r="F10" s="5">
        <v>0.17699999999999999</v>
      </c>
      <c r="G10" s="5">
        <v>0.189</v>
      </c>
      <c r="H10" s="5">
        <v>0.182</v>
      </c>
      <c r="I10" s="5">
        <v>0.20100000000000001</v>
      </c>
      <c r="J10" s="6">
        <v>0.67900000000000005</v>
      </c>
      <c r="K10" s="3">
        <v>0.25800000000000001</v>
      </c>
      <c r="L10" s="5">
        <v>0.20100000000000001</v>
      </c>
      <c r="M10" s="5">
        <v>0.218</v>
      </c>
      <c r="N10" s="8">
        <v>490</v>
      </c>
      <c r="Q10" s="54" t="s">
        <v>6</v>
      </c>
      <c r="R10" s="16">
        <v>1.569</v>
      </c>
      <c r="S10" s="5">
        <v>0.14199999999999999</v>
      </c>
      <c r="T10" s="5">
        <v>0.20499999999999999</v>
      </c>
      <c r="U10" s="5">
        <v>0.20799999999999999</v>
      </c>
      <c r="V10" s="5">
        <v>0.17100000000000001</v>
      </c>
      <c r="W10" s="5">
        <v>0.19600000000000001</v>
      </c>
      <c r="X10" s="5">
        <v>0.22600000000000001</v>
      </c>
      <c r="Y10" s="5">
        <v>0.20699999999999999</v>
      </c>
      <c r="Z10" s="17">
        <v>0.61</v>
      </c>
      <c r="AA10" s="3">
        <v>0.30299999999999999</v>
      </c>
      <c r="AB10" s="5">
        <v>0.20399999999999999</v>
      </c>
      <c r="AC10" s="5">
        <v>0.214</v>
      </c>
      <c r="AD10" s="8">
        <v>490</v>
      </c>
    </row>
    <row r="11" spans="1:30">
      <c r="A11" s="55"/>
      <c r="B11" s="32">
        <v>0.52900000000000003</v>
      </c>
      <c r="C11" s="10">
        <v>0.10100000000000001</v>
      </c>
      <c r="D11" s="10">
        <v>0.106</v>
      </c>
      <c r="E11" s="10">
        <v>0.113</v>
      </c>
      <c r="F11" s="10">
        <v>0.123</v>
      </c>
      <c r="G11" s="11">
        <v>0.13300000000000001</v>
      </c>
      <c r="H11" s="11">
        <v>0.128</v>
      </c>
      <c r="I11" s="11">
        <v>0.14299999999999999</v>
      </c>
      <c r="J11" s="31">
        <v>0.39</v>
      </c>
      <c r="K11" s="15">
        <v>0.17499999999999999</v>
      </c>
      <c r="L11" s="11">
        <v>0.14499999999999999</v>
      </c>
      <c r="M11" s="11">
        <v>0.152</v>
      </c>
      <c r="N11" s="8">
        <v>750</v>
      </c>
      <c r="Q11" s="55"/>
      <c r="R11" s="12">
        <v>0.67600000000000005</v>
      </c>
      <c r="S11" s="10">
        <v>0.10199999999999999</v>
      </c>
      <c r="T11" s="11">
        <v>0.128</v>
      </c>
      <c r="U11" s="10">
        <v>0.11899999999999999</v>
      </c>
      <c r="V11" s="10">
        <v>0.11899999999999999</v>
      </c>
      <c r="W11" s="11">
        <v>0.13900000000000001</v>
      </c>
      <c r="X11" s="11">
        <v>0.151</v>
      </c>
      <c r="Y11" s="11">
        <v>0.14699999999999999</v>
      </c>
      <c r="Z11" s="13">
        <v>0.32800000000000001</v>
      </c>
      <c r="AA11" s="15">
        <v>0.20100000000000001</v>
      </c>
      <c r="AB11" s="11">
        <v>0.14699999999999999</v>
      </c>
      <c r="AC11" s="11">
        <v>0.14799999999999999</v>
      </c>
      <c r="AD11" s="8">
        <v>750</v>
      </c>
    </row>
    <row r="12" spans="1:30">
      <c r="A12" s="54" t="s">
        <v>7</v>
      </c>
      <c r="B12" s="5">
        <v>0.14099999999999999</v>
      </c>
      <c r="C12" s="5">
        <v>0.13700000000000001</v>
      </c>
      <c r="D12" s="5">
        <v>0.14599999999999999</v>
      </c>
      <c r="E12" s="5">
        <v>0.153</v>
      </c>
      <c r="F12" s="5">
        <v>0.153</v>
      </c>
      <c r="G12" s="28">
        <v>0.97099999999999997</v>
      </c>
      <c r="H12" s="3">
        <v>0.23300000000000001</v>
      </c>
      <c r="I12" s="5">
        <v>0.184</v>
      </c>
      <c r="J12" s="5">
        <v>0.161</v>
      </c>
      <c r="K12" s="5">
        <v>0.17</v>
      </c>
      <c r="L12" s="5">
        <v>0.17899999999999999</v>
      </c>
      <c r="M12" s="7">
        <v>0.35499999999999998</v>
      </c>
      <c r="N12" s="8">
        <v>490</v>
      </c>
      <c r="Q12" s="54" t="s">
        <v>7</v>
      </c>
      <c r="R12" s="5">
        <v>0.13900000000000001</v>
      </c>
      <c r="S12" s="5">
        <v>0.14099999999999999</v>
      </c>
      <c r="T12" s="5">
        <v>0.15</v>
      </c>
      <c r="U12" s="5">
        <v>0.151</v>
      </c>
      <c r="V12" s="5">
        <v>0.153</v>
      </c>
      <c r="W12" s="5">
        <v>0.16700000000000001</v>
      </c>
      <c r="X12" s="5">
        <v>0.16400000000000001</v>
      </c>
      <c r="Y12" s="3">
        <v>0.23499999999999999</v>
      </c>
      <c r="Z12" s="5">
        <v>0.17</v>
      </c>
      <c r="AA12" s="5">
        <v>0.182</v>
      </c>
      <c r="AB12" s="5">
        <v>0.182</v>
      </c>
      <c r="AC12" s="7">
        <v>0.35799999999999998</v>
      </c>
      <c r="AD12" s="8">
        <v>490</v>
      </c>
    </row>
    <row r="13" spans="1:30">
      <c r="A13" s="55"/>
      <c r="B13" s="10">
        <v>9.7000000000000003E-2</v>
      </c>
      <c r="C13" s="10">
        <v>9.8000000000000004E-2</v>
      </c>
      <c r="D13" s="10">
        <v>0.105</v>
      </c>
      <c r="E13" s="10">
        <v>0.108</v>
      </c>
      <c r="F13" s="10">
        <v>0.109</v>
      </c>
      <c r="G13" s="13">
        <v>0.29599999999999999</v>
      </c>
      <c r="H13" s="11">
        <v>0.126</v>
      </c>
      <c r="I13" s="11">
        <v>0.127</v>
      </c>
      <c r="J13" s="10">
        <v>0.11</v>
      </c>
      <c r="K13" s="10">
        <v>0.106</v>
      </c>
      <c r="L13" s="11">
        <v>0.126</v>
      </c>
      <c r="M13" s="22">
        <v>0.247</v>
      </c>
      <c r="N13" s="8">
        <v>750</v>
      </c>
      <c r="Q13" s="55"/>
      <c r="R13" s="10">
        <v>9.6000000000000002E-2</v>
      </c>
      <c r="S13" s="10">
        <v>0.10199999999999999</v>
      </c>
      <c r="T13" s="10">
        <v>0.108</v>
      </c>
      <c r="U13" s="10">
        <v>0.108</v>
      </c>
      <c r="V13" s="10">
        <v>0.109</v>
      </c>
      <c r="W13" s="10">
        <v>0.11700000000000001</v>
      </c>
      <c r="X13" s="10">
        <v>0.115</v>
      </c>
      <c r="Y13" s="11">
        <v>0.14099999999999999</v>
      </c>
      <c r="Z13" s="10">
        <v>0.11799999999999999</v>
      </c>
      <c r="AA13" s="10">
        <v>0.115</v>
      </c>
      <c r="AB13" s="11">
        <v>0.13</v>
      </c>
      <c r="AC13" s="9">
        <v>0.248</v>
      </c>
      <c r="AD13" s="8">
        <v>750</v>
      </c>
    </row>
    <row r="14" spans="1:30">
      <c r="A14" s="54" t="s">
        <v>8</v>
      </c>
      <c r="B14" s="5">
        <v>0.14399999999999999</v>
      </c>
      <c r="C14" s="5">
        <v>0.13400000000000001</v>
      </c>
      <c r="D14" s="5">
        <v>0.13100000000000001</v>
      </c>
      <c r="E14" s="5">
        <v>0.14499999999999999</v>
      </c>
      <c r="F14" s="24">
        <v>1.2090000000000001</v>
      </c>
      <c r="G14" s="5">
        <v>0.16</v>
      </c>
      <c r="H14" s="3">
        <v>0.309</v>
      </c>
      <c r="I14" s="3">
        <v>0.245</v>
      </c>
      <c r="J14" s="5">
        <v>0.16900000000000001</v>
      </c>
      <c r="K14" s="5">
        <v>0.17899999999999999</v>
      </c>
      <c r="L14" s="5">
        <v>0.157</v>
      </c>
      <c r="M14" s="14">
        <v>1.0780000000000001</v>
      </c>
      <c r="N14" s="8">
        <v>490</v>
      </c>
      <c r="Q14" s="54" t="s">
        <v>8</v>
      </c>
      <c r="R14" s="25">
        <v>1.4</v>
      </c>
      <c r="S14" s="5">
        <v>0.13500000000000001</v>
      </c>
      <c r="T14" s="5">
        <v>0.13100000000000001</v>
      </c>
      <c r="U14" s="5">
        <v>0.14799999999999999</v>
      </c>
      <c r="V14" s="5">
        <v>0.19</v>
      </c>
      <c r="W14" s="5">
        <v>0.16300000000000001</v>
      </c>
      <c r="X14" s="5">
        <v>0.16600000000000001</v>
      </c>
      <c r="Y14" s="5">
        <v>0.16</v>
      </c>
      <c r="Z14" s="5">
        <v>0.17499999999999999</v>
      </c>
      <c r="AA14" s="5">
        <v>0.223</v>
      </c>
      <c r="AB14" s="5">
        <v>0.154</v>
      </c>
      <c r="AC14" s="5">
        <v>0.155</v>
      </c>
      <c r="AD14" s="8">
        <v>490</v>
      </c>
    </row>
    <row r="15" spans="1:30">
      <c r="A15" s="55"/>
      <c r="B15" s="10">
        <v>9.9000000000000005E-2</v>
      </c>
      <c r="C15" s="10">
        <v>9.7000000000000003E-2</v>
      </c>
      <c r="D15" s="10">
        <v>9.1999999999999998E-2</v>
      </c>
      <c r="E15" s="10">
        <v>0.10199999999999999</v>
      </c>
      <c r="F15" s="31">
        <v>0.39400000000000002</v>
      </c>
      <c r="G15" s="10">
        <v>0.113</v>
      </c>
      <c r="H15" s="10">
        <v>0.123</v>
      </c>
      <c r="I15" s="11">
        <v>0.14399999999999999</v>
      </c>
      <c r="J15" s="10">
        <v>0.122</v>
      </c>
      <c r="K15" s="11">
        <v>0.129</v>
      </c>
      <c r="L15" s="10">
        <v>0.111</v>
      </c>
      <c r="M15" s="22">
        <v>0.27100000000000002</v>
      </c>
      <c r="N15" s="8">
        <v>750</v>
      </c>
      <c r="Q15" s="55"/>
      <c r="R15" s="31">
        <v>0.42899999999999999</v>
      </c>
      <c r="S15" s="10">
        <v>9.9000000000000005E-2</v>
      </c>
      <c r="T15" s="10">
        <v>9.1999999999999998E-2</v>
      </c>
      <c r="U15" s="10">
        <v>0.104</v>
      </c>
      <c r="V15" s="11">
        <v>0.14000000000000001</v>
      </c>
      <c r="W15" s="10">
        <v>0.11700000000000001</v>
      </c>
      <c r="X15" s="10">
        <v>0.111</v>
      </c>
      <c r="Y15" s="10">
        <v>0.113</v>
      </c>
      <c r="Z15" s="11">
        <v>0.127</v>
      </c>
      <c r="AA15" s="11">
        <v>0.156</v>
      </c>
      <c r="AB15" s="10">
        <v>0.109</v>
      </c>
      <c r="AC15" s="10">
        <v>0.107</v>
      </c>
      <c r="AD15" s="8">
        <v>750</v>
      </c>
    </row>
    <row r="16" spans="1:30">
      <c r="A16" s="54" t="s">
        <v>9</v>
      </c>
      <c r="B16" s="3">
        <v>0.28299999999999997</v>
      </c>
      <c r="C16" s="7">
        <v>0.372</v>
      </c>
      <c r="D16" s="5">
        <v>0.151</v>
      </c>
      <c r="E16" s="5">
        <v>0.151</v>
      </c>
      <c r="F16" s="3">
        <v>0.28100000000000003</v>
      </c>
      <c r="G16" s="17">
        <v>0.61399999999999999</v>
      </c>
      <c r="H16" s="5">
        <v>0.20200000000000001</v>
      </c>
      <c r="I16" s="24">
        <v>1.155</v>
      </c>
      <c r="J16" s="24">
        <v>1.1919999999999999</v>
      </c>
      <c r="K16" s="5">
        <v>0.16200000000000001</v>
      </c>
      <c r="L16" s="5">
        <v>0.191</v>
      </c>
      <c r="M16" s="5">
        <v>0.151</v>
      </c>
      <c r="N16" s="8">
        <v>490</v>
      </c>
      <c r="Q16" s="54" t="s">
        <v>9</v>
      </c>
      <c r="R16" s="5">
        <v>0.14099999999999999</v>
      </c>
      <c r="S16" s="5">
        <v>0.14000000000000001</v>
      </c>
      <c r="T16" s="5">
        <v>0.216</v>
      </c>
      <c r="U16" s="5">
        <v>0.219</v>
      </c>
      <c r="V16" s="3">
        <v>0.28799999999999998</v>
      </c>
      <c r="W16" s="17">
        <v>0.61799999999999999</v>
      </c>
      <c r="X16" s="5">
        <v>0.19900000000000001</v>
      </c>
      <c r="Y16" s="5">
        <v>0.17699999999999999</v>
      </c>
      <c r="Z16" s="5">
        <v>0.16800000000000001</v>
      </c>
      <c r="AA16" s="24">
        <v>1.2470000000000001</v>
      </c>
      <c r="AB16" s="5">
        <v>0.17699999999999999</v>
      </c>
      <c r="AC16" s="5">
        <v>0.14799999999999999</v>
      </c>
      <c r="AD16" s="8">
        <v>490</v>
      </c>
    </row>
    <row r="17" spans="1:30">
      <c r="A17" s="55"/>
      <c r="B17" s="11">
        <v>0.156</v>
      </c>
      <c r="C17" s="15">
        <v>0.19900000000000001</v>
      </c>
      <c r="D17" s="10">
        <v>0.10299999999999999</v>
      </c>
      <c r="E17" s="10">
        <v>0.10199999999999999</v>
      </c>
      <c r="F17" s="11">
        <v>0.157</v>
      </c>
      <c r="G17" s="10">
        <v>0.123</v>
      </c>
      <c r="H17" s="10">
        <v>8.8999999999999996E-2</v>
      </c>
      <c r="I17" s="23">
        <v>0.32500000000000001</v>
      </c>
      <c r="J17" s="21">
        <v>0.36199999999999999</v>
      </c>
      <c r="K17" s="10">
        <v>0.10299999999999999</v>
      </c>
      <c r="L17" s="10">
        <v>0.123</v>
      </c>
      <c r="M17" s="10">
        <v>0.10299999999999999</v>
      </c>
      <c r="N17" s="8">
        <v>750</v>
      </c>
      <c r="Q17" s="55"/>
      <c r="R17" s="10">
        <v>9.8000000000000004E-2</v>
      </c>
      <c r="S17" s="10">
        <v>9.8000000000000004E-2</v>
      </c>
      <c r="T17" s="11">
        <v>0.127</v>
      </c>
      <c r="U17" s="10">
        <v>0.121</v>
      </c>
      <c r="V17" s="11">
        <v>0.16</v>
      </c>
      <c r="W17" s="10">
        <v>0.125</v>
      </c>
      <c r="X17" s="10">
        <v>8.5000000000000006E-2</v>
      </c>
      <c r="Y17" s="10">
        <v>0.11</v>
      </c>
      <c r="Z17" s="10">
        <v>0.105</v>
      </c>
      <c r="AA17" s="21">
        <v>0.41099999999999998</v>
      </c>
      <c r="AB17" s="10">
        <v>0.11799999999999999</v>
      </c>
      <c r="AC17" s="10">
        <v>0.10100000000000001</v>
      </c>
      <c r="AD17" s="8">
        <v>750</v>
      </c>
    </row>
    <row r="19" spans="1:30">
      <c r="A19" t="s">
        <v>23</v>
      </c>
      <c r="B19" t="s">
        <v>12</v>
      </c>
      <c r="C19" t="s">
        <v>13</v>
      </c>
    </row>
    <row r="20" spans="1:30">
      <c r="A20" s="1"/>
      <c r="B20" s="2">
        <v>1</v>
      </c>
      <c r="C20" s="2">
        <v>2</v>
      </c>
      <c r="D20" s="2">
        <v>3</v>
      </c>
      <c r="E20" s="2">
        <v>4</v>
      </c>
      <c r="F20" s="2">
        <v>5</v>
      </c>
      <c r="G20" s="2">
        <v>6</v>
      </c>
      <c r="H20" s="2">
        <v>7</v>
      </c>
      <c r="I20" s="2">
        <v>8</v>
      </c>
      <c r="J20" s="2">
        <v>9</v>
      </c>
      <c r="K20" s="2">
        <v>10</v>
      </c>
      <c r="L20" s="2">
        <v>11</v>
      </c>
      <c r="M20" s="2">
        <v>12</v>
      </c>
    </row>
    <row r="21" spans="1:30">
      <c r="A21" s="54" t="s">
        <v>2</v>
      </c>
      <c r="B21" s="3">
        <v>0.128</v>
      </c>
      <c r="C21" s="4">
        <v>0.185</v>
      </c>
      <c r="D21" s="5">
        <v>0.11700000000000001</v>
      </c>
      <c r="E21" s="3">
        <v>0.12</v>
      </c>
      <c r="F21" s="3">
        <v>0.11899999999999999</v>
      </c>
      <c r="G21" s="5">
        <v>0.11799999999999999</v>
      </c>
      <c r="H21" s="5">
        <v>0.11799999999999999</v>
      </c>
      <c r="I21" s="5">
        <v>0.11799999999999999</v>
      </c>
      <c r="J21" s="6">
        <v>0.16700000000000001</v>
      </c>
      <c r="K21" s="5">
        <v>0.11899999999999999</v>
      </c>
      <c r="L21" s="3">
        <v>0.121</v>
      </c>
      <c r="M21" s="7">
        <v>0.13600000000000001</v>
      </c>
      <c r="N21" s="8">
        <v>490</v>
      </c>
    </row>
    <row r="22" spans="1:30">
      <c r="A22" s="55"/>
      <c r="B22" s="9">
        <v>9.9000000000000005E-2</v>
      </c>
      <c r="C22" s="10">
        <v>8.5999999999999993E-2</v>
      </c>
      <c r="D22" s="10">
        <v>8.8999999999999996E-2</v>
      </c>
      <c r="E22" s="11">
        <v>0.09</v>
      </c>
      <c r="F22" s="11">
        <v>9.0999999999999998E-2</v>
      </c>
      <c r="G22" s="10">
        <v>8.7999999999999995E-2</v>
      </c>
      <c r="H22" s="11">
        <v>0.09</v>
      </c>
      <c r="I22" s="11">
        <v>9.0999999999999998E-2</v>
      </c>
      <c r="J22" s="12">
        <v>0.13800000000000001</v>
      </c>
      <c r="K22" s="11">
        <v>9.0999999999999998E-2</v>
      </c>
      <c r="L22" s="11">
        <v>9.2999999999999999E-2</v>
      </c>
      <c r="M22" s="13">
        <v>0.105</v>
      </c>
      <c r="N22" s="8">
        <v>750</v>
      </c>
    </row>
    <row r="23" spans="1:30">
      <c r="A23" s="54" t="s">
        <v>3</v>
      </c>
      <c r="B23" s="3">
        <v>0.126</v>
      </c>
      <c r="C23" s="5">
        <v>0.11700000000000001</v>
      </c>
      <c r="D23" s="3">
        <v>0.123</v>
      </c>
      <c r="E23" s="3">
        <v>0.127</v>
      </c>
      <c r="F23" s="3">
        <v>0.129</v>
      </c>
      <c r="G23" s="3">
        <v>0.121</v>
      </c>
      <c r="H23" s="3">
        <v>0.121</v>
      </c>
      <c r="I23" s="14">
        <v>0.21199999999999999</v>
      </c>
      <c r="J23" s="3">
        <v>0.124</v>
      </c>
      <c r="K23" s="3">
        <v>0.126</v>
      </c>
      <c r="L23" s="3">
        <v>0.12</v>
      </c>
      <c r="M23" s="3">
        <v>0.125</v>
      </c>
      <c r="N23" s="8">
        <v>490</v>
      </c>
    </row>
    <row r="24" spans="1:30">
      <c r="A24" s="55"/>
      <c r="B24" s="15">
        <v>9.6000000000000002E-2</v>
      </c>
      <c r="C24" s="11">
        <v>9.0999999999999998E-2</v>
      </c>
      <c r="D24" s="11">
        <v>9.2999999999999999E-2</v>
      </c>
      <c r="E24" s="15">
        <v>9.5000000000000001E-2</v>
      </c>
      <c r="F24" s="11">
        <v>9.1999999999999998E-2</v>
      </c>
      <c r="G24" s="11">
        <v>9.1999999999999998E-2</v>
      </c>
      <c r="H24" s="11">
        <v>9.2999999999999999E-2</v>
      </c>
      <c r="I24" s="11">
        <v>9.2999999999999999E-2</v>
      </c>
      <c r="J24" s="15">
        <v>9.5000000000000001E-2</v>
      </c>
      <c r="K24" s="15">
        <v>9.6000000000000002E-2</v>
      </c>
      <c r="L24" s="11">
        <v>0.09</v>
      </c>
      <c r="M24" s="15">
        <v>9.5000000000000001E-2</v>
      </c>
      <c r="N24" s="8">
        <v>750</v>
      </c>
    </row>
    <row r="25" spans="1:30">
      <c r="A25" s="54" t="s">
        <v>4</v>
      </c>
      <c r="B25" s="3">
        <v>0.126</v>
      </c>
      <c r="C25" s="3">
        <v>0.125</v>
      </c>
      <c r="D25" s="3">
        <v>0.122</v>
      </c>
      <c r="E25" s="16">
        <v>0.25700000000000001</v>
      </c>
      <c r="F25" s="3">
        <v>0.121</v>
      </c>
      <c r="G25" s="3">
        <v>0.128</v>
      </c>
      <c r="H25" s="3">
        <v>0.122</v>
      </c>
      <c r="I25" s="3">
        <v>0.125</v>
      </c>
      <c r="J25" s="17">
        <v>0.155</v>
      </c>
      <c r="K25" s="5">
        <v>0.11799999999999999</v>
      </c>
      <c r="L25" s="5">
        <v>0.11700000000000001</v>
      </c>
      <c r="M25" s="3">
        <v>0.128</v>
      </c>
      <c r="N25" s="8">
        <v>490</v>
      </c>
    </row>
    <row r="26" spans="1:30">
      <c r="A26" s="55"/>
      <c r="B26" s="15">
        <v>9.5000000000000001E-2</v>
      </c>
      <c r="C26" s="10">
        <v>8.7999999999999995E-2</v>
      </c>
      <c r="D26" s="15">
        <v>9.2999999999999999E-2</v>
      </c>
      <c r="E26" s="15">
        <v>9.5000000000000001E-2</v>
      </c>
      <c r="F26" s="11">
        <v>9.1999999999999998E-2</v>
      </c>
      <c r="G26" s="15">
        <v>9.5000000000000001E-2</v>
      </c>
      <c r="H26" s="11">
        <v>9.0999999999999998E-2</v>
      </c>
      <c r="I26" s="15">
        <v>9.5000000000000001E-2</v>
      </c>
      <c r="J26" s="18">
        <v>0.125</v>
      </c>
      <c r="K26" s="11">
        <v>0.09</v>
      </c>
      <c r="L26" s="11">
        <v>0.09</v>
      </c>
      <c r="M26" s="9">
        <v>9.9000000000000005E-2</v>
      </c>
      <c r="N26" s="8">
        <v>750</v>
      </c>
    </row>
    <row r="27" spans="1:30">
      <c r="A27" s="54" t="s">
        <v>5</v>
      </c>
      <c r="B27" s="3">
        <v>0.126</v>
      </c>
      <c r="C27" s="5">
        <v>0.11600000000000001</v>
      </c>
      <c r="D27" s="3">
        <v>0.122</v>
      </c>
      <c r="E27" s="3">
        <v>0.125</v>
      </c>
      <c r="F27" s="3">
        <v>0.122</v>
      </c>
      <c r="G27" s="3">
        <v>0.13</v>
      </c>
      <c r="H27" s="3">
        <v>0.125</v>
      </c>
      <c r="I27" s="3">
        <v>0.121</v>
      </c>
      <c r="J27" s="3">
        <v>0.124</v>
      </c>
      <c r="K27" s="3">
        <v>0.124</v>
      </c>
      <c r="L27" s="3">
        <v>0.123</v>
      </c>
      <c r="M27" s="3">
        <v>0.124</v>
      </c>
      <c r="N27" s="8">
        <v>490</v>
      </c>
    </row>
    <row r="28" spans="1:30">
      <c r="A28" s="55"/>
      <c r="B28" s="15">
        <v>9.6000000000000002E-2</v>
      </c>
      <c r="C28" s="10">
        <v>8.8999999999999996E-2</v>
      </c>
      <c r="D28" s="15">
        <v>9.2999999999999999E-2</v>
      </c>
      <c r="E28" s="9">
        <v>9.7000000000000003E-2</v>
      </c>
      <c r="F28" s="11">
        <v>9.0999999999999998E-2</v>
      </c>
      <c r="G28" s="9">
        <v>9.8000000000000004E-2</v>
      </c>
      <c r="H28" s="15">
        <v>9.4E-2</v>
      </c>
      <c r="I28" s="11">
        <v>0.09</v>
      </c>
      <c r="J28" s="11">
        <v>9.1999999999999998E-2</v>
      </c>
      <c r="K28" s="15">
        <v>9.5000000000000001E-2</v>
      </c>
      <c r="L28" s="15">
        <v>9.5000000000000001E-2</v>
      </c>
      <c r="M28" s="11">
        <v>9.2999999999999999E-2</v>
      </c>
      <c r="N28" s="8">
        <v>750</v>
      </c>
    </row>
    <row r="29" spans="1:30">
      <c r="A29" s="54" t="s">
        <v>6</v>
      </c>
      <c r="B29" s="3">
        <v>0.121</v>
      </c>
      <c r="C29" s="5">
        <v>0.11</v>
      </c>
      <c r="D29" s="5">
        <v>0.11799999999999999</v>
      </c>
      <c r="E29" s="7">
        <v>0.13100000000000001</v>
      </c>
      <c r="F29" s="5">
        <v>0.11700000000000001</v>
      </c>
      <c r="G29" s="3">
        <v>0.121</v>
      </c>
      <c r="H29" s="3">
        <v>0.124</v>
      </c>
      <c r="I29" s="3">
        <v>0.12</v>
      </c>
      <c r="J29" s="3">
        <v>0.12</v>
      </c>
      <c r="K29" s="5">
        <v>0.11700000000000001</v>
      </c>
      <c r="L29" s="5">
        <v>0.115</v>
      </c>
      <c r="M29" s="3">
        <v>0.124</v>
      </c>
      <c r="N29" s="8">
        <v>490</v>
      </c>
    </row>
    <row r="30" spans="1:30">
      <c r="A30" s="55"/>
      <c r="B30" s="15">
        <v>9.2999999999999999E-2</v>
      </c>
      <c r="C30" s="10">
        <v>8.6999999999999994E-2</v>
      </c>
      <c r="D30" s="11">
        <v>9.2999999999999999E-2</v>
      </c>
      <c r="E30" s="15">
        <v>9.2999999999999999E-2</v>
      </c>
      <c r="F30" s="10">
        <v>8.8999999999999996E-2</v>
      </c>
      <c r="G30" s="11">
        <v>9.1999999999999998E-2</v>
      </c>
      <c r="H30" s="15">
        <v>9.4E-2</v>
      </c>
      <c r="I30" s="11">
        <v>9.0999999999999998E-2</v>
      </c>
      <c r="J30" s="11">
        <v>0.09</v>
      </c>
      <c r="K30" s="10">
        <v>8.8999999999999996E-2</v>
      </c>
      <c r="L30" s="11">
        <v>0.09</v>
      </c>
      <c r="M30" s="15">
        <v>9.4E-2</v>
      </c>
      <c r="N30" s="8">
        <v>750</v>
      </c>
    </row>
    <row r="31" spans="1:30">
      <c r="A31" s="54" t="s">
        <v>7</v>
      </c>
      <c r="B31" s="3">
        <v>0.125</v>
      </c>
      <c r="C31" s="5">
        <v>0.11</v>
      </c>
      <c r="D31" s="3">
        <v>0.122</v>
      </c>
      <c r="E31" s="5">
        <v>0.11700000000000001</v>
      </c>
      <c r="F31" s="3">
        <v>0.12</v>
      </c>
      <c r="G31" s="3">
        <v>0.122</v>
      </c>
      <c r="H31" s="3">
        <v>0.121</v>
      </c>
      <c r="I31" s="3">
        <v>0.125</v>
      </c>
      <c r="J31" s="3">
        <v>0.126</v>
      </c>
      <c r="K31" s="5">
        <v>0.11700000000000001</v>
      </c>
      <c r="L31" s="5">
        <v>0.11600000000000001</v>
      </c>
      <c r="M31" s="3">
        <v>0.121</v>
      </c>
      <c r="N31" s="8">
        <v>490</v>
      </c>
    </row>
    <row r="32" spans="1:30">
      <c r="A32" s="55"/>
      <c r="B32" s="9">
        <v>9.7000000000000003E-2</v>
      </c>
      <c r="C32" s="10">
        <v>8.6999999999999994E-2</v>
      </c>
      <c r="D32" s="15">
        <v>9.6000000000000002E-2</v>
      </c>
      <c r="E32" s="11">
        <v>9.0999999999999998E-2</v>
      </c>
      <c r="F32" s="11">
        <v>9.1999999999999998E-2</v>
      </c>
      <c r="G32" s="15">
        <v>9.2999999999999999E-2</v>
      </c>
      <c r="H32" s="11">
        <v>9.0999999999999998E-2</v>
      </c>
      <c r="I32" s="15">
        <v>9.4E-2</v>
      </c>
      <c r="J32" s="15">
        <v>9.5000000000000001E-2</v>
      </c>
      <c r="K32" s="10">
        <v>8.8999999999999996E-2</v>
      </c>
      <c r="L32" s="10">
        <v>8.8999999999999996E-2</v>
      </c>
      <c r="M32" s="11">
        <v>9.0999999999999998E-2</v>
      </c>
      <c r="N32" s="8">
        <v>750</v>
      </c>
    </row>
    <row r="33" spans="1:28">
      <c r="A33" s="54" t="s">
        <v>8</v>
      </c>
      <c r="B33" s="3">
        <v>0.122</v>
      </c>
      <c r="C33" s="5">
        <v>0.108</v>
      </c>
      <c r="D33" s="5">
        <v>0.114</v>
      </c>
      <c r="E33" s="3">
        <v>0.126</v>
      </c>
      <c r="F33" s="5">
        <v>0.112</v>
      </c>
      <c r="G33" s="5">
        <v>0.11799999999999999</v>
      </c>
      <c r="H33" s="3">
        <v>0.125</v>
      </c>
      <c r="I33" s="3">
        <v>0.12</v>
      </c>
      <c r="J33" s="3">
        <v>0.121</v>
      </c>
      <c r="K33" s="5">
        <v>0.11600000000000001</v>
      </c>
      <c r="L33" s="5">
        <v>0.11600000000000001</v>
      </c>
      <c r="M33" s="3">
        <v>0.11899999999999999</v>
      </c>
      <c r="N33" s="8">
        <v>490</v>
      </c>
    </row>
    <row r="34" spans="1:28">
      <c r="A34" s="55"/>
      <c r="B34" s="15">
        <v>9.4E-2</v>
      </c>
      <c r="C34" s="10">
        <v>8.5999999999999993E-2</v>
      </c>
      <c r="D34" s="11">
        <v>0.09</v>
      </c>
      <c r="E34" s="9">
        <v>9.9000000000000005E-2</v>
      </c>
      <c r="F34" s="10">
        <v>8.7999999999999995E-2</v>
      </c>
      <c r="G34" s="11">
        <v>0.09</v>
      </c>
      <c r="H34" s="15">
        <v>9.4E-2</v>
      </c>
      <c r="I34" s="11">
        <v>9.2999999999999999E-2</v>
      </c>
      <c r="J34" s="11">
        <v>9.2999999999999999E-2</v>
      </c>
      <c r="K34" s="11">
        <v>8.8999999999999996E-2</v>
      </c>
      <c r="L34" s="11">
        <v>8.8999999999999996E-2</v>
      </c>
      <c r="M34" s="11">
        <v>9.0999999999999998E-2</v>
      </c>
      <c r="N34" s="8">
        <v>750</v>
      </c>
    </row>
    <row r="35" spans="1:28">
      <c r="A35" s="54" t="s">
        <v>9</v>
      </c>
      <c r="B35" s="5">
        <v>0.11600000000000001</v>
      </c>
      <c r="C35" s="5">
        <v>0.115</v>
      </c>
      <c r="D35" s="5">
        <v>0.11799999999999999</v>
      </c>
      <c r="E35" s="3">
        <v>0.123</v>
      </c>
      <c r="F35" s="3">
        <v>0.129</v>
      </c>
      <c r="G35" s="16">
        <v>0.26400000000000001</v>
      </c>
      <c r="H35" s="3">
        <v>0.129</v>
      </c>
      <c r="I35" s="3">
        <v>0.124</v>
      </c>
      <c r="J35" s="3">
        <v>0.126</v>
      </c>
      <c r="K35" s="17">
        <v>0.153</v>
      </c>
      <c r="L35" s="19">
        <v>0.14399999999999999</v>
      </c>
      <c r="M35" s="3">
        <v>0.123</v>
      </c>
      <c r="N35" s="8">
        <v>490</v>
      </c>
    </row>
    <row r="36" spans="1:28">
      <c r="A36" s="55"/>
      <c r="B36" s="10">
        <v>8.8999999999999996E-2</v>
      </c>
      <c r="C36" s="10">
        <v>8.7999999999999995E-2</v>
      </c>
      <c r="D36" s="10">
        <v>8.8999999999999996E-2</v>
      </c>
      <c r="E36" s="11">
        <v>9.2999999999999999E-2</v>
      </c>
      <c r="F36" s="11">
        <v>9.0999999999999998E-2</v>
      </c>
      <c r="G36" s="11">
        <v>9.1999999999999998E-2</v>
      </c>
      <c r="H36" s="15">
        <v>9.5000000000000001E-2</v>
      </c>
      <c r="I36" s="11">
        <v>9.0999999999999998E-2</v>
      </c>
      <c r="J36" s="11">
        <v>9.1999999999999998E-2</v>
      </c>
      <c r="K36" s="20">
        <v>0.12</v>
      </c>
      <c r="L36" s="21">
        <v>0.114</v>
      </c>
      <c r="M36" s="11">
        <v>9.0999999999999998E-2</v>
      </c>
      <c r="N36" s="8">
        <v>750</v>
      </c>
    </row>
    <row r="38" spans="1:28">
      <c r="A38" s="38" t="s">
        <v>24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</row>
    <row r="39" spans="1:28">
      <c r="A39" t="s">
        <v>13</v>
      </c>
      <c r="B39" s="2">
        <v>1</v>
      </c>
      <c r="C39" s="2">
        <v>2</v>
      </c>
      <c r="D39" s="2">
        <v>3</v>
      </c>
      <c r="E39" s="2">
        <v>4</v>
      </c>
      <c r="F39" s="2">
        <v>5</v>
      </c>
      <c r="G39" s="2">
        <v>6</v>
      </c>
      <c r="H39" s="2">
        <v>7</v>
      </c>
      <c r="I39" s="2">
        <v>8</v>
      </c>
      <c r="J39" s="2">
        <v>9</v>
      </c>
      <c r="K39" s="2">
        <v>10</v>
      </c>
      <c r="L39" s="2">
        <v>11</v>
      </c>
      <c r="M39" s="2">
        <v>12</v>
      </c>
      <c r="O39" t="s">
        <v>14</v>
      </c>
      <c r="P39" s="2">
        <v>1</v>
      </c>
      <c r="Q39" s="2">
        <v>2</v>
      </c>
      <c r="R39" s="2">
        <v>3</v>
      </c>
      <c r="S39" s="2">
        <v>4</v>
      </c>
      <c r="T39" s="2">
        <v>5</v>
      </c>
      <c r="U39" s="2">
        <v>6</v>
      </c>
      <c r="V39" s="2">
        <v>7</v>
      </c>
      <c r="W39" s="2">
        <v>8</v>
      </c>
      <c r="X39" s="2">
        <v>9</v>
      </c>
      <c r="Y39" s="2">
        <v>10</v>
      </c>
      <c r="Z39" s="2">
        <v>11</v>
      </c>
      <c r="AA39" s="2">
        <v>12</v>
      </c>
    </row>
    <row r="40" spans="1:28">
      <c r="A40" s="54" t="s">
        <v>2</v>
      </c>
      <c r="B40">
        <f>B2-B21</f>
        <v>1.6999999999999987E-2</v>
      </c>
      <c r="C40">
        <f t="shared" ref="C40:M40" si="0">C2-C21</f>
        <v>0.22999999999999998</v>
      </c>
      <c r="D40">
        <f t="shared" si="0"/>
        <v>3.599999999999999E-2</v>
      </c>
      <c r="E40">
        <f t="shared" si="0"/>
        <v>3.4000000000000002E-2</v>
      </c>
      <c r="F40">
        <f t="shared" si="0"/>
        <v>4.8000000000000015E-2</v>
      </c>
      <c r="G40">
        <f t="shared" si="0"/>
        <v>4.5000000000000012E-2</v>
      </c>
      <c r="H40">
        <f t="shared" si="0"/>
        <v>9.4E-2</v>
      </c>
      <c r="I40" s="40">
        <f t="shared" si="0"/>
        <v>0.48299999999999998</v>
      </c>
      <c r="J40">
        <f t="shared" si="0"/>
        <v>3.6000000000000004E-2</v>
      </c>
      <c r="K40">
        <f t="shared" si="0"/>
        <v>0.52500000000000002</v>
      </c>
      <c r="L40">
        <f t="shared" si="0"/>
        <v>0.85</v>
      </c>
      <c r="M40" s="40">
        <f t="shared" si="0"/>
        <v>0.316</v>
      </c>
      <c r="P40">
        <f>R2-B21</f>
        <v>1.6999999999999987E-2</v>
      </c>
      <c r="Q40">
        <f t="shared" ref="Q40:AA55" si="1">S2-C21</f>
        <v>0.27400000000000002</v>
      </c>
      <c r="R40">
        <f t="shared" si="1"/>
        <v>3.7999999999999992E-2</v>
      </c>
      <c r="S40" s="40">
        <f t="shared" si="1"/>
        <v>1.073</v>
      </c>
      <c r="T40">
        <f t="shared" si="1"/>
        <v>4.300000000000001E-2</v>
      </c>
      <c r="U40" s="40">
        <f t="shared" si="1"/>
        <v>1.1469999999999998</v>
      </c>
      <c r="V40">
        <f t="shared" si="1"/>
        <v>9.7000000000000003E-2</v>
      </c>
      <c r="W40" s="40">
        <f t="shared" si="1"/>
        <v>0.47199999999999998</v>
      </c>
      <c r="X40">
        <f t="shared" si="1"/>
        <v>6.7999999999999977E-2</v>
      </c>
      <c r="Y40">
        <f t="shared" si="1"/>
        <v>0.58199999999999996</v>
      </c>
      <c r="Z40">
        <f t="shared" si="1"/>
        <v>0.83899999999999997</v>
      </c>
      <c r="AA40">
        <f t="shared" si="1"/>
        <v>9.8000000000000004E-2</v>
      </c>
      <c r="AB40" s="54" t="s">
        <v>2</v>
      </c>
    </row>
    <row r="41" spans="1:28">
      <c r="A41" s="55"/>
      <c r="B41">
        <f t="shared" ref="B41:M41" si="2">B3-B22</f>
        <v>1.0000000000000009E-3</v>
      </c>
      <c r="C41">
        <f t="shared" si="2"/>
        <v>3.8000000000000006E-2</v>
      </c>
      <c r="D41">
        <f t="shared" si="2"/>
        <v>1.8000000000000002E-2</v>
      </c>
      <c r="E41">
        <f t="shared" si="2"/>
        <v>1.6E-2</v>
      </c>
      <c r="F41">
        <f t="shared" si="2"/>
        <v>2.6999999999999996E-2</v>
      </c>
      <c r="G41">
        <f t="shared" si="2"/>
        <v>1.0000000000000009E-2</v>
      </c>
      <c r="H41">
        <f t="shared" si="2"/>
        <v>5.7999999999999996E-2</v>
      </c>
      <c r="I41">
        <f t="shared" si="2"/>
        <v>0.28600000000000003</v>
      </c>
      <c r="J41">
        <f t="shared" si="2"/>
        <v>1.0000000000000009E-3</v>
      </c>
      <c r="K41">
        <f t="shared" si="2"/>
        <v>0.34499999999999997</v>
      </c>
      <c r="L41">
        <f t="shared" si="2"/>
        <v>0.5</v>
      </c>
      <c r="M41">
        <f t="shared" si="2"/>
        <v>0.22900000000000004</v>
      </c>
      <c r="P41">
        <f t="shared" ref="P41:P55" si="3">R3-B22</f>
        <v>1.0000000000000009E-3</v>
      </c>
      <c r="Q41">
        <f t="shared" si="1"/>
        <v>4.1000000000000009E-2</v>
      </c>
      <c r="R41">
        <f t="shared" si="1"/>
        <v>1.9000000000000003E-2</v>
      </c>
      <c r="S41">
        <f t="shared" si="1"/>
        <v>0.24700000000000003</v>
      </c>
      <c r="T41">
        <f t="shared" si="1"/>
        <v>2.4000000000000007E-2</v>
      </c>
      <c r="U41">
        <f t="shared" si="1"/>
        <v>0.377</v>
      </c>
      <c r="V41">
        <f t="shared" si="1"/>
        <v>5.7999999999999996E-2</v>
      </c>
      <c r="W41">
        <f t="shared" si="1"/>
        <v>0.28400000000000003</v>
      </c>
      <c r="X41">
        <f t="shared" si="1"/>
        <v>1.8999999999999989E-2</v>
      </c>
      <c r="Y41">
        <f t="shared" si="1"/>
        <v>0.34899999999999998</v>
      </c>
      <c r="Z41">
        <f t="shared" si="1"/>
        <v>0.51300000000000001</v>
      </c>
      <c r="AA41">
        <f t="shared" si="1"/>
        <v>9.2000000000000012E-2</v>
      </c>
      <c r="AB41" s="55"/>
    </row>
    <row r="42" spans="1:28">
      <c r="A42" s="54" t="s">
        <v>3</v>
      </c>
      <c r="B42">
        <f t="shared" ref="B42:M42" si="4">B4-B23</f>
        <v>2.3999999999999994E-2</v>
      </c>
      <c r="C42" s="42">
        <f t="shared" si="4"/>
        <v>0.64900000000000002</v>
      </c>
      <c r="D42">
        <f t="shared" si="4"/>
        <v>0.6</v>
      </c>
      <c r="E42">
        <f t="shared" si="4"/>
        <v>4.6999999999999986E-2</v>
      </c>
      <c r="F42">
        <f t="shared" si="4"/>
        <v>6.0999999999999999E-2</v>
      </c>
      <c r="G42">
        <f t="shared" si="4"/>
        <v>8.8999999999999996E-2</v>
      </c>
      <c r="H42">
        <f t="shared" si="4"/>
        <v>0.13200000000000001</v>
      </c>
      <c r="I42" s="41">
        <f t="shared" si="4"/>
        <v>0.89500000000000002</v>
      </c>
      <c r="J42">
        <f t="shared" si="4"/>
        <v>0.13500000000000001</v>
      </c>
      <c r="K42">
        <f t="shared" si="4"/>
        <v>0.10600000000000001</v>
      </c>
      <c r="L42">
        <f t="shared" si="4"/>
        <v>0.78300000000000003</v>
      </c>
      <c r="M42">
        <f t="shared" si="4"/>
        <v>0.64500000000000002</v>
      </c>
      <c r="P42">
        <f t="shared" si="3"/>
        <v>2.4999999999999994E-2</v>
      </c>
      <c r="Q42" s="42">
        <f t="shared" si="1"/>
        <v>0.59899999999999998</v>
      </c>
      <c r="R42">
        <f t="shared" si="1"/>
        <v>0.46799999999999997</v>
      </c>
      <c r="S42">
        <f t="shared" si="1"/>
        <v>5.099999999999999E-2</v>
      </c>
      <c r="T42">
        <f t="shared" si="1"/>
        <v>6.3E-2</v>
      </c>
      <c r="U42" s="40">
        <f t="shared" si="1"/>
        <v>1.1819999999999999</v>
      </c>
      <c r="V42">
        <f t="shared" si="1"/>
        <v>0.14300000000000002</v>
      </c>
      <c r="W42">
        <f t="shared" si="1"/>
        <v>0.67</v>
      </c>
      <c r="X42" s="41">
        <f t="shared" si="1"/>
        <v>0.13100000000000001</v>
      </c>
      <c r="Y42">
        <f t="shared" si="1"/>
        <v>0.12</v>
      </c>
      <c r="Z42">
        <f t="shared" si="1"/>
        <v>0.71399999999999997</v>
      </c>
      <c r="AA42">
        <f t="shared" si="1"/>
        <v>0.188</v>
      </c>
      <c r="AB42" s="54" t="s">
        <v>3</v>
      </c>
    </row>
    <row r="43" spans="1:28">
      <c r="A43" s="55"/>
      <c r="B43">
        <f t="shared" ref="B43:M43" si="5">B5-B24</f>
        <v>5.9999999999999915E-3</v>
      </c>
      <c r="C43">
        <f t="shared" si="5"/>
        <v>0.38500000000000001</v>
      </c>
      <c r="D43">
        <f t="shared" si="5"/>
        <v>0.36699999999999999</v>
      </c>
      <c r="E43">
        <f t="shared" si="5"/>
        <v>1.3999999999999999E-2</v>
      </c>
      <c r="F43">
        <f t="shared" si="5"/>
        <v>2.6999999999999996E-2</v>
      </c>
      <c r="G43">
        <f t="shared" si="5"/>
        <v>5.5999999999999994E-2</v>
      </c>
      <c r="H43">
        <f t="shared" si="5"/>
        <v>8.0999999999999989E-2</v>
      </c>
      <c r="I43">
        <f t="shared" si="5"/>
        <v>0.33799999999999997</v>
      </c>
      <c r="J43">
        <f t="shared" si="5"/>
        <v>7.9999999999999988E-2</v>
      </c>
      <c r="K43">
        <f t="shared" si="5"/>
        <v>7.3000000000000009E-2</v>
      </c>
      <c r="L43">
        <f t="shared" si="5"/>
        <v>0.47899999999999998</v>
      </c>
      <c r="M43">
        <f t="shared" si="5"/>
        <v>0.223</v>
      </c>
      <c r="P43">
        <f t="shared" si="3"/>
        <v>7.9999999999999932E-3</v>
      </c>
      <c r="Q43">
        <f t="shared" si="1"/>
        <v>0.35199999999999998</v>
      </c>
      <c r="R43">
        <f t="shared" si="1"/>
        <v>0.26700000000000002</v>
      </c>
      <c r="S43">
        <f t="shared" si="1"/>
        <v>1.9000000000000003E-2</v>
      </c>
      <c r="T43">
        <f t="shared" si="1"/>
        <v>2.6999999999999996E-2</v>
      </c>
      <c r="U43">
        <f t="shared" si="1"/>
        <v>0.35299999999999998</v>
      </c>
      <c r="V43">
        <f t="shared" si="1"/>
        <v>8.4999999999999992E-2</v>
      </c>
      <c r="W43">
        <f t="shared" si="1"/>
        <v>0.19499999999999998</v>
      </c>
      <c r="X43">
        <f t="shared" si="1"/>
        <v>7.8999999999999987E-2</v>
      </c>
      <c r="Y43">
        <f t="shared" si="1"/>
        <v>8.3999999999999991E-2</v>
      </c>
      <c r="Z43">
        <f t="shared" si="1"/>
        <v>0.41700000000000004</v>
      </c>
      <c r="AA43">
        <f t="shared" si="1"/>
        <v>0.11099999999999999</v>
      </c>
      <c r="AB43" s="55"/>
    </row>
    <row r="44" spans="1:28">
      <c r="A44" s="54" t="s">
        <v>4</v>
      </c>
      <c r="B44">
        <f t="shared" ref="B44:M44" si="6">B6-B25</f>
        <v>2.7999999999999997E-2</v>
      </c>
      <c r="C44">
        <f t="shared" si="6"/>
        <v>5.3999999999999992E-2</v>
      </c>
      <c r="D44">
        <f t="shared" si="6"/>
        <v>3.2000000000000001E-2</v>
      </c>
      <c r="E44">
        <f t="shared" si="6"/>
        <v>0.70099999999999996</v>
      </c>
      <c r="F44">
        <f t="shared" si="6"/>
        <v>5.6999999999999995E-2</v>
      </c>
      <c r="G44">
        <f t="shared" si="6"/>
        <v>0.26500000000000001</v>
      </c>
      <c r="H44">
        <f t="shared" si="6"/>
        <v>0.89800000000000002</v>
      </c>
      <c r="I44">
        <f t="shared" si="6"/>
        <v>0.51600000000000001</v>
      </c>
      <c r="J44">
        <f t="shared" si="6"/>
        <v>0.89599999999999991</v>
      </c>
      <c r="K44">
        <f t="shared" si="6"/>
        <v>0.58399999999999996</v>
      </c>
      <c r="L44">
        <f t="shared" si="6"/>
        <v>0.107</v>
      </c>
      <c r="M44">
        <f t="shared" si="6"/>
        <v>0.11199999999999999</v>
      </c>
      <c r="P44" s="40">
        <f t="shared" si="3"/>
        <v>0.124</v>
      </c>
      <c r="Q44">
        <f t="shared" si="1"/>
        <v>4.9999999999999989E-2</v>
      </c>
      <c r="R44">
        <f t="shared" si="1"/>
        <v>3.2000000000000001E-2</v>
      </c>
      <c r="S44">
        <f t="shared" si="1"/>
        <v>0.68499999999999994</v>
      </c>
      <c r="T44">
        <f t="shared" si="1"/>
        <v>5.6999999999999995E-2</v>
      </c>
      <c r="U44">
        <f t="shared" si="1"/>
        <v>0.245</v>
      </c>
      <c r="V44">
        <f t="shared" si="1"/>
        <v>1.0419999999999998</v>
      </c>
      <c r="W44">
        <f t="shared" si="1"/>
        <v>0.48299999999999998</v>
      </c>
      <c r="X44">
        <f t="shared" si="1"/>
        <v>0.86599999999999988</v>
      </c>
      <c r="Y44">
        <f t="shared" si="1"/>
        <v>0.58699999999999997</v>
      </c>
      <c r="Z44">
        <f t="shared" si="1"/>
        <v>0.107</v>
      </c>
      <c r="AA44">
        <f t="shared" si="1"/>
        <v>0.11199999999999999</v>
      </c>
      <c r="AB44" s="54" t="s">
        <v>4</v>
      </c>
    </row>
    <row r="45" spans="1:28">
      <c r="A45" s="55"/>
      <c r="B45">
        <f t="shared" ref="B45:M45" si="7">B7-B26</f>
        <v>7.9999999999999932E-3</v>
      </c>
      <c r="C45">
        <f t="shared" si="7"/>
        <v>1.100000000000001E-2</v>
      </c>
      <c r="D45">
        <f t="shared" si="7"/>
        <v>1.3999999999999999E-2</v>
      </c>
      <c r="E45">
        <f t="shared" si="7"/>
        <v>0.24500000000000002</v>
      </c>
      <c r="F45">
        <f t="shared" si="7"/>
        <v>3.3000000000000002E-2</v>
      </c>
      <c r="G45">
        <f t="shared" si="7"/>
        <v>0.13100000000000001</v>
      </c>
      <c r="H45">
        <f t="shared" si="7"/>
        <v>0.52100000000000002</v>
      </c>
      <c r="I45">
        <f t="shared" si="7"/>
        <v>0.18699999999999997</v>
      </c>
      <c r="J45">
        <f t="shared" si="7"/>
        <v>0.47499999999999998</v>
      </c>
      <c r="K45">
        <f t="shared" si="7"/>
        <v>0.371</v>
      </c>
      <c r="L45">
        <f t="shared" si="7"/>
        <v>0.06</v>
      </c>
      <c r="M45">
        <f t="shared" si="7"/>
        <v>6.5000000000000002E-2</v>
      </c>
      <c r="P45">
        <f t="shared" si="3"/>
        <v>3.8000000000000006E-2</v>
      </c>
      <c r="Q45">
        <f t="shared" si="1"/>
        <v>9.000000000000008E-3</v>
      </c>
      <c r="R45">
        <f t="shared" si="1"/>
        <v>1.4999999999999999E-2</v>
      </c>
      <c r="S45">
        <f t="shared" si="1"/>
        <v>0.22</v>
      </c>
      <c r="T45">
        <f t="shared" si="1"/>
        <v>3.4000000000000002E-2</v>
      </c>
      <c r="U45">
        <f t="shared" si="1"/>
        <v>0.121</v>
      </c>
      <c r="V45">
        <f t="shared" si="1"/>
        <v>0.54200000000000004</v>
      </c>
      <c r="W45">
        <f t="shared" si="1"/>
        <v>0.14699999999999999</v>
      </c>
      <c r="X45">
        <f t="shared" si="1"/>
        <v>0.47299999999999998</v>
      </c>
      <c r="Y45">
        <f t="shared" si="1"/>
        <v>0.374</v>
      </c>
      <c r="Z45">
        <f t="shared" si="1"/>
        <v>6.0999999999999999E-2</v>
      </c>
      <c r="AA45">
        <f t="shared" si="1"/>
        <v>6.5000000000000002E-2</v>
      </c>
      <c r="AB45" s="55"/>
    </row>
    <row r="46" spans="1:28">
      <c r="A46" s="54" t="s">
        <v>5</v>
      </c>
      <c r="B46">
        <f t="shared" ref="B46:M46" si="8">B8-B27</f>
        <v>0.99299999999999999</v>
      </c>
      <c r="C46">
        <f t="shared" si="8"/>
        <v>2.7999999999999983E-2</v>
      </c>
      <c r="D46">
        <f t="shared" si="8"/>
        <v>2.7999999999999997E-2</v>
      </c>
      <c r="E46">
        <f t="shared" si="8"/>
        <v>6.0999999999999999E-2</v>
      </c>
      <c r="F46" s="40">
        <f t="shared" si="8"/>
        <v>0.61799999999999999</v>
      </c>
      <c r="G46">
        <f t="shared" si="8"/>
        <v>0.10400000000000001</v>
      </c>
      <c r="H46">
        <f t="shared" si="8"/>
        <v>8.7999999999999995E-2</v>
      </c>
      <c r="I46">
        <f t="shared" si="8"/>
        <v>0.11200000000000002</v>
      </c>
      <c r="J46">
        <f t="shared" si="8"/>
        <v>7.8000000000000014E-2</v>
      </c>
      <c r="K46">
        <f t="shared" si="8"/>
        <v>0.10900000000000001</v>
      </c>
      <c r="L46">
        <f t="shared" si="8"/>
        <v>0.76400000000000001</v>
      </c>
      <c r="M46" s="40">
        <f t="shared" si="8"/>
        <v>0.14900000000000002</v>
      </c>
      <c r="P46">
        <f t="shared" si="3"/>
        <v>0.83499999999999996</v>
      </c>
      <c r="Q46">
        <f t="shared" si="1"/>
        <v>3.1999999999999987E-2</v>
      </c>
      <c r="R46">
        <f t="shared" si="1"/>
        <v>3.2000000000000001E-2</v>
      </c>
      <c r="S46">
        <f t="shared" si="1"/>
        <v>4.1000000000000009E-2</v>
      </c>
      <c r="T46">
        <f t="shared" si="1"/>
        <v>7.6000000000000012E-2</v>
      </c>
      <c r="U46">
        <f t="shared" si="1"/>
        <v>0.10499999999999998</v>
      </c>
      <c r="V46">
        <f t="shared" si="1"/>
        <v>9.8000000000000004E-2</v>
      </c>
      <c r="W46" s="40">
        <f t="shared" si="1"/>
        <v>0.128</v>
      </c>
      <c r="X46">
        <f t="shared" si="1"/>
        <v>0.10400000000000001</v>
      </c>
      <c r="Y46">
        <f t="shared" si="1"/>
        <v>0.10800000000000001</v>
      </c>
      <c r="Z46">
        <f t="shared" si="1"/>
        <v>0.67700000000000005</v>
      </c>
      <c r="AA46">
        <f t="shared" si="1"/>
        <v>0.1</v>
      </c>
      <c r="AB46" s="54" t="s">
        <v>5</v>
      </c>
    </row>
    <row r="47" spans="1:28">
      <c r="A47" s="55"/>
      <c r="B47">
        <f t="shared" ref="B47:M47" si="9">B9-B28</f>
        <v>0.24700000000000003</v>
      </c>
      <c r="C47">
        <f t="shared" si="9"/>
        <v>1.2000000000000011E-2</v>
      </c>
      <c r="D47">
        <f t="shared" si="9"/>
        <v>1.0999999999999996E-2</v>
      </c>
      <c r="E47">
        <f t="shared" si="9"/>
        <v>2.7999999999999997E-2</v>
      </c>
      <c r="F47">
        <f t="shared" si="9"/>
        <v>0.159</v>
      </c>
      <c r="G47">
        <f t="shared" si="9"/>
        <v>5.4999999999999993E-2</v>
      </c>
      <c r="H47">
        <f t="shared" si="9"/>
        <v>5.4999999999999993E-2</v>
      </c>
      <c r="I47">
        <f t="shared" si="9"/>
        <v>7.1000000000000008E-2</v>
      </c>
      <c r="J47">
        <f t="shared" si="9"/>
        <v>4.8999999999999988E-2</v>
      </c>
      <c r="K47">
        <f t="shared" si="9"/>
        <v>6.5000000000000002E-2</v>
      </c>
      <c r="L47">
        <f t="shared" si="9"/>
        <v>0.45000000000000007</v>
      </c>
      <c r="M47">
        <f t="shared" si="9"/>
        <v>8.0999999999999989E-2</v>
      </c>
      <c r="P47">
        <f t="shared" si="3"/>
        <v>0.18899999999999997</v>
      </c>
      <c r="Q47">
        <f t="shared" si="1"/>
        <v>1.4999999999999999E-2</v>
      </c>
      <c r="R47">
        <f t="shared" si="1"/>
        <v>1.4999999999999999E-2</v>
      </c>
      <c r="S47">
        <f t="shared" si="1"/>
        <v>2.1999999999999992E-2</v>
      </c>
      <c r="T47">
        <f t="shared" si="1"/>
        <v>4.9000000000000016E-2</v>
      </c>
      <c r="U47">
        <f t="shared" si="1"/>
        <v>5.5999999999999994E-2</v>
      </c>
      <c r="V47">
        <f t="shared" si="1"/>
        <v>6.0999999999999999E-2</v>
      </c>
      <c r="W47">
        <f t="shared" si="1"/>
        <v>8.0000000000000016E-2</v>
      </c>
      <c r="X47">
        <f t="shared" si="1"/>
        <v>6.4000000000000001E-2</v>
      </c>
      <c r="Y47">
        <f t="shared" si="1"/>
        <v>6.5000000000000002E-2</v>
      </c>
      <c r="Z47">
        <f t="shared" si="1"/>
        <v>0.373</v>
      </c>
      <c r="AA47">
        <f t="shared" si="1"/>
        <v>0.06</v>
      </c>
      <c r="AB47" s="55"/>
    </row>
    <row r="48" spans="1:28">
      <c r="A48" s="54" t="s">
        <v>6</v>
      </c>
      <c r="B48">
        <f t="shared" ref="B48:M48" si="10">B10-B29</f>
        <v>1.4019999999999999</v>
      </c>
      <c r="C48">
        <f t="shared" si="10"/>
        <v>3.1999999999999987E-2</v>
      </c>
      <c r="D48">
        <f t="shared" si="10"/>
        <v>3.2000000000000001E-2</v>
      </c>
      <c r="E48">
        <f t="shared" si="10"/>
        <v>6.7000000000000004E-2</v>
      </c>
      <c r="F48">
        <f t="shared" si="10"/>
        <v>5.9999999999999984E-2</v>
      </c>
      <c r="G48">
        <f t="shared" si="10"/>
        <v>6.8000000000000005E-2</v>
      </c>
      <c r="H48">
        <f t="shared" si="10"/>
        <v>5.7999999999999996E-2</v>
      </c>
      <c r="I48">
        <f t="shared" si="10"/>
        <v>8.1000000000000016E-2</v>
      </c>
      <c r="J48">
        <f t="shared" si="10"/>
        <v>0.55900000000000005</v>
      </c>
      <c r="K48">
        <f t="shared" si="10"/>
        <v>0.14100000000000001</v>
      </c>
      <c r="L48">
        <f t="shared" si="10"/>
        <v>8.6000000000000007E-2</v>
      </c>
      <c r="M48">
        <f t="shared" si="10"/>
        <v>9.4E-2</v>
      </c>
      <c r="P48">
        <f t="shared" si="3"/>
        <v>1.448</v>
      </c>
      <c r="Q48">
        <f t="shared" si="1"/>
        <v>3.1999999999999987E-2</v>
      </c>
      <c r="R48">
        <f t="shared" si="1"/>
        <v>8.6999999999999994E-2</v>
      </c>
      <c r="S48">
        <f t="shared" si="1"/>
        <v>7.6999999999999985E-2</v>
      </c>
      <c r="T48">
        <f t="shared" si="1"/>
        <v>5.4000000000000006E-2</v>
      </c>
      <c r="U48">
        <f t="shared" si="1"/>
        <v>7.5000000000000011E-2</v>
      </c>
      <c r="V48" s="40">
        <f t="shared" si="1"/>
        <v>0.10200000000000001</v>
      </c>
      <c r="W48">
        <f t="shared" si="1"/>
        <v>8.6999999999999994E-2</v>
      </c>
      <c r="X48" s="40">
        <f t="shared" si="1"/>
        <v>0.49</v>
      </c>
      <c r="Y48">
        <f t="shared" si="1"/>
        <v>0.186</v>
      </c>
      <c r="Z48">
        <f t="shared" si="1"/>
        <v>8.8999999999999982E-2</v>
      </c>
      <c r="AA48">
        <f t="shared" si="1"/>
        <v>0.09</v>
      </c>
      <c r="AB48" s="54" t="s">
        <v>6</v>
      </c>
    </row>
    <row r="49" spans="1:28">
      <c r="A49" s="55"/>
      <c r="B49">
        <f t="shared" ref="B49:M49" si="11">B11-B30</f>
        <v>0.43600000000000005</v>
      </c>
      <c r="C49">
        <f t="shared" si="11"/>
        <v>1.4000000000000012E-2</v>
      </c>
      <c r="D49">
        <f t="shared" si="11"/>
        <v>1.2999999999999998E-2</v>
      </c>
      <c r="E49">
        <f t="shared" si="11"/>
        <v>2.0000000000000004E-2</v>
      </c>
      <c r="F49">
        <f t="shared" si="11"/>
        <v>3.4000000000000002E-2</v>
      </c>
      <c r="G49">
        <f t="shared" si="11"/>
        <v>4.1000000000000009E-2</v>
      </c>
      <c r="H49">
        <f t="shared" si="11"/>
        <v>3.4000000000000002E-2</v>
      </c>
      <c r="I49">
        <f t="shared" si="11"/>
        <v>5.1999999999999991E-2</v>
      </c>
      <c r="J49">
        <f t="shared" si="11"/>
        <v>0.30000000000000004</v>
      </c>
      <c r="K49">
        <f t="shared" si="11"/>
        <v>8.5999999999999993E-2</v>
      </c>
      <c r="L49">
        <f t="shared" si="11"/>
        <v>5.4999999999999993E-2</v>
      </c>
      <c r="M49">
        <f t="shared" si="11"/>
        <v>5.7999999999999996E-2</v>
      </c>
      <c r="P49">
        <f t="shared" si="3"/>
        <v>0.58300000000000007</v>
      </c>
      <c r="Q49">
        <f t="shared" si="1"/>
        <v>1.4999999999999999E-2</v>
      </c>
      <c r="R49">
        <f t="shared" si="1"/>
        <v>3.5000000000000003E-2</v>
      </c>
      <c r="S49">
        <f t="shared" si="1"/>
        <v>2.5999999999999995E-2</v>
      </c>
      <c r="T49">
        <f t="shared" si="1"/>
        <v>0.03</v>
      </c>
      <c r="U49">
        <f t="shared" si="1"/>
        <v>4.7000000000000014E-2</v>
      </c>
      <c r="V49">
        <f t="shared" si="1"/>
        <v>5.6999999999999995E-2</v>
      </c>
      <c r="W49">
        <f t="shared" si="1"/>
        <v>5.5999999999999994E-2</v>
      </c>
      <c r="X49">
        <f t="shared" si="1"/>
        <v>0.23800000000000002</v>
      </c>
      <c r="Y49">
        <f t="shared" si="1"/>
        <v>0.11200000000000002</v>
      </c>
      <c r="Z49">
        <f t="shared" si="1"/>
        <v>5.6999999999999995E-2</v>
      </c>
      <c r="AA49">
        <f t="shared" si="1"/>
        <v>5.3999999999999992E-2</v>
      </c>
      <c r="AB49" s="55"/>
    </row>
    <row r="50" spans="1:28">
      <c r="A50" s="54" t="s">
        <v>7</v>
      </c>
      <c r="B50">
        <f t="shared" ref="B50:M50" si="12">B12-B31</f>
        <v>1.5999999999999986E-2</v>
      </c>
      <c r="C50">
        <f t="shared" si="12"/>
        <v>2.700000000000001E-2</v>
      </c>
      <c r="D50">
        <f t="shared" si="12"/>
        <v>2.3999999999999994E-2</v>
      </c>
      <c r="E50">
        <f t="shared" si="12"/>
        <v>3.599999999999999E-2</v>
      </c>
      <c r="F50">
        <f t="shared" si="12"/>
        <v>3.3000000000000002E-2</v>
      </c>
      <c r="G50" s="40">
        <f t="shared" si="12"/>
        <v>0.84899999999999998</v>
      </c>
      <c r="H50" s="40">
        <f t="shared" si="12"/>
        <v>0.11200000000000002</v>
      </c>
      <c r="I50" s="41">
        <f t="shared" si="12"/>
        <v>5.8999999999999997E-2</v>
      </c>
      <c r="J50">
        <f t="shared" si="12"/>
        <v>3.5000000000000003E-2</v>
      </c>
      <c r="K50">
        <f t="shared" si="12"/>
        <v>5.3000000000000005E-2</v>
      </c>
      <c r="L50">
        <f t="shared" si="12"/>
        <v>6.2999999999999987E-2</v>
      </c>
      <c r="M50">
        <f t="shared" si="12"/>
        <v>0.23399999999999999</v>
      </c>
      <c r="P50">
        <f t="shared" si="3"/>
        <v>1.4000000000000012E-2</v>
      </c>
      <c r="Q50">
        <f t="shared" si="1"/>
        <v>3.0999999999999986E-2</v>
      </c>
      <c r="R50">
        <f t="shared" si="1"/>
        <v>2.7999999999999997E-2</v>
      </c>
      <c r="S50">
        <f t="shared" si="1"/>
        <v>3.3999999999999989E-2</v>
      </c>
      <c r="T50">
        <f t="shared" si="1"/>
        <v>3.3000000000000002E-2</v>
      </c>
      <c r="U50">
        <f t="shared" si="1"/>
        <v>4.5000000000000012E-2</v>
      </c>
      <c r="V50">
        <f t="shared" si="1"/>
        <v>4.300000000000001E-2</v>
      </c>
      <c r="W50" s="41">
        <f t="shared" si="1"/>
        <v>0.10999999999999999</v>
      </c>
      <c r="X50">
        <f t="shared" si="1"/>
        <v>4.4000000000000011E-2</v>
      </c>
      <c r="Y50">
        <f t="shared" si="1"/>
        <v>6.4999999999999988E-2</v>
      </c>
      <c r="Z50">
        <f t="shared" si="1"/>
        <v>6.5999999999999989E-2</v>
      </c>
      <c r="AA50">
        <f t="shared" si="1"/>
        <v>0.23699999999999999</v>
      </c>
      <c r="AB50" s="54" t="s">
        <v>7</v>
      </c>
    </row>
    <row r="51" spans="1:28">
      <c r="A51" s="55"/>
      <c r="B51">
        <f t="shared" ref="B51:M51" si="13">B13-B32</f>
        <v>0</v>
      </c>
      <c r="C51">
        <f t="shared" si="13"/>
        <v>1.100000000000001E-2</v>
      </c>
      <c r="D51">
        <f t="shared" si="13"/>
        <v>8.9999999999999941E-3</v>
      </c>
      <c r="E51">
        <f t="shared" si="13"/>
        <v>1.7000000000000001E-2</v>
      </c>
      <c r="F51">
        <f t="shared" si="13"/>
        <v>1.7000000000000001E-2</v>
      </c>
      <c r="G51">
        <f t="shared" si="13"/>
        <v>0.20299999999999999</v>
      </c>
      <c r="H51">
        <f t="shared" si="13"/>
        <v>3.5000000000000003E-2</v>
      </c>
      <c r="I51">
        <f t="shared" si="13"/>
        <v>3.3000000000000002E-2</v>
      </c>
      <c r="J51">
        <f t="shared" si="13"/>
        <v>1.4999999999999999E-2</v>
      </c>
      <c r="K51">
        <f t="shared" si="13"/>
        <v>1.7000000000000001E-2</v>
      </c>
      <c r="L51">
        <f t="shared" si="13"/>
        <v>3.7000000000000005E-2</v>
      </c>
      <c r="M51">
        <f t="shared" si="13"/>
        <v>0.156</v>
      </c>
      <c r="P51">
        <f t="shared" si="3"/>
        <v>-1.0000000000000009E-3</v>
      </c>
      <c r="Q51">
        <f t="shared" si="1"/>
        <v>1.4999999999999999E-2</v>
      </c>
      <c r="R51">
        <f t="shared" si="1"/>
        <v>1.1999999999999997E-2</v>
      </c>
      <c r="S51">
        <f t="shared" si="1"/>
        <v>1.7000000000000001E-2</v>
      </c>
      <c r="T51">
        <f t="shared" si="1"/>
        <v>1.7000000000000001E-2</v>
      </c>
      <c r="U51">
        <f t="shared" si="1"/>
        <v>2.4000000000000007E-2</v>
      </c>
      <c r="V51">
        <f t="shared" si="1"/>
        <v>2.4000000000000007E-2</v>
      </c>
      <c r="W51">
        <f t="shared" si="1"/>
        <v>4.6999999999999986E-2</v>
      </c>
      <c r="X51">
        <f t="shared" si="1"/>
        <v>2.2999999999999993E-2</v>
      </c>
      <c r="Y51">
        <f t="shared" si="1"/>
        <v>2.6000000000000009E-2</v>
      </c>
      <c r="Z51">
        <f t="shared" si="1"/>
        <v>4.1000000000000009E-2</v>
      </c>
      <c r="AA51">
        <f t="shared" si="1"/>
        <v>0.157</v>
      </c>
      <c r="AB51" s="55"/>
    </row>
    <row r="52" spans="1:28">
      <c r="A52" s="54" t="s">
        <v>8</v>
      </c>
      <c r="B52">
        <f t="shared" ref="B52:M52" si="14">B14-B33</f>
        <v>2.1999999999999992E-2</v>
      </c>
      <c r="C52">
        <f t="shared" si="14"/>
        <v>2.6000000000000009E-2</v>
      </c>
      <c r="D52">
        <f t="shared" si="14"/>
        <v>1.7000000000000001E-2</v>
      </c>
      <c r="E52">
        <f t="shared" si="14"/>
        <v>1.8999999999999989E-2</v>
      </c>
      <c r="F52" s="40">
        <f t="shared" si="14"/>
        <v>1.097</v>
      </c>
      <c r="G52">
        <f t="shared" si="14"/>
        <v>4.200000000000001E-2</v>
      </c>
      <c r="H52" s="40">
        <f t="shared" si="14"/>
        <v>0.184</v>
      </c>
      <c r="I52" s="40">
        <f t="shared" si="14"/>
        <v>0.125</v>
      </c>
      <c r="J52">
        <f t="shared" si="14"/>
        <v>4.8000000000000015E-2</v>
      </c>
      <c r="K52">
        <f t="shared" si="14"/>
        <v>6.2999999999999987E-2</v>
      </c>
      <c r="L52">
        <f t="shared" si="14"/>
        <v>4.0999999999999995E-2</v>
      </c>
      <c r="M52" s="40">
        <f t="shared" si="14"/>
        <v>0.95900000000000007</v>
      </c>
      <c r="P52" s="40">
        <f t="shared" si="3"/>
        <v>1.278</v>
      </c>
      <c r="Q52">
        <f t="shared" si="1"/>
        <v>2.700000000000001E-2</v>
      </c>
      <c r="R52">
        <f t="shared" si="1"/>
        <v>1.7000000000000001E-2</v>
      </c>
      <c r="S52">
        <f t="shared" si="1"/>
        <v>2.1999999999999992E-2</v>
      </c>
      <c r="T52">
        <f t="shared" si="1"/>
        <v>7.8E-2</v>
      </c>
      <c r="U52">
        <f t="shared" si="1"/>
        <v>4.5000000000000012E-2</v>
      </c>
      <c r="V52">
        <f t="shared" si="1"/>
        <v>4.1000000000000009E-2</v>
      </c>
      <c r="W52">
        <f t="shared" si="1"/>
        <v>4.0000000000000008E-2</v>
      </c>
      <c r="X52">
        <f t="shared" si="1"/>
        <v>5.3999999999999992E-2</v>
      </c>
      <c r="Y52" s="40">
        <f t="shared" si="1"/>
        <v>0.107</v>
      </c>
      <c r="Z52">
        <f t="shared" si="1"/>
        <v>3.7999999999999992E-2</v>
      </c>
      <c r="AA52">
        <f t="shared" si="1"/>
        <v>3.6000000000000004E-2</v>
      </c>
      <c r="AB52" s="54" t="s">
        <v>8</v>
      </c>
    </row>
    <row r="53" spans="1:28">
      <c r="A53" s="55"/>
      <c r="B53">
        <f t="shared" ref="B53:M53" si="15">B15-B34</f>
        <v>5.0000000000000044E-3</v>
      </c>
      <c r="C53">
        <f t="shared" si="15"/>
        <v>1.100000000000001E-2</v>
      </c>
      <c r="D53">
        <f t="shared" si="15"/>
        <v>2.0000000000000018E-3</v>
      </c>
      <c r="E53">
        <f t="shared" si="15"/>
        <v>2.9999999999999888E-3</v>
      </c>
      <c r="F53">
        <f t="shared" si="15"/>
        <v>0.30600000000000005</v>
      </c>
      <c r="G53">
        <f t="shared" si="15"/>
        <v>2.3000000000000007E-2</v>
      </c>
      <c r="H53">
        <f t="shared" si="15"/>
        <v>2.8999999999999998E-2</v>
      </c>
      <c r="I53">
        <f t="shared" si="15"/>
        <v>5.099999999999999E-2</v>
      </c>
      <c r="J53">
        <f t="shared" si="15"/>
        <v>2.8999999999999998E-2</v>
      </c>
      <c r="K53">
        <f t="shared" si="15"/>
        <v>4.0000000000000008E-2</v>
      </c>
      <c r="L53">
        <f t="shared" si="15"/>
        <v>2.2000000000000006E-2</v>
      </c>
      <c r="M53">
        <f t="shared" si="15"/>
        <v>0.18000000000000002</v>
      </c>
      <c r="P53">
        <f t="shared" si="3"/>
        <v>0.33499999999999996</v>
      </c>
      <c r="Q53">
        <f t="shared" si="1"/>
        <v>1.3000000000000012E-2</v>
      </c>
      <c r="R53">
        <f t="shared" si="1"/>
        <v>2.0000000000000018E-3</v>
      </c>
      <c r="S53">
        <f t="shared" si="1"/>
        <v>4.9999999999999906E-3</v>
      </c>
      <c r="T53">
        <f t="shared" si="1"/>
        <v>5.2000000000000018E-2</v>
      </c>
      <c r="U53">
        <f t="shared" si="1"/>
        <v>2.700000000000001E-2</v>
      </c>
      <c r="V53">
        <f t="shared" si="1"/>
        <v>1.7000000000000001E-2</v>
      </c>
      <c r="W53">
        <f t="shared" si="1"/>
        <v>2.0000000000000004E-2</v>
      </c>
      <c r="X53">
        <f t="shared" si="1"/>
        <v>3.4000000000000002E-2</v>
      </c>
      <c r="Y53">
        <f t="shared" si="1"/>
        <v>6.7000000000000004E-2</v>
      </c>
      <c r="Z53">
        <f t="shared" si="1"/>
        <v>2.0000000000000004E-2</v>
      </c>
      <c r="AA53">
        <f t="shared" si="1"/>
        <v>1.6E-2</v>
      </c>
      <c r="AB53" s="55"/>
    </row>
    <row r="54" spans="1:28">
      <c r="A54" s="54" t="s">
        <v>9</v>
      </c>
      <c r="B54" s="39">
        <f t="shared" ref="B54:M54" si="16">B16-B35</f>
        <v>0.16699999999999998</v>
      </c>
      <c r="C54" s="39">
        <f t="shared" si="16"/>
        <v>0.25700000000000001</v>
      </c>
      <c r="D54">
        <f t="shared" si="16"/>
        <v>3.3000000000000002E-2</v>
      </c>
      <c r="E54">
        <f t="shared" si="16"/>
        <v>2.7999999999999997E-2</v>
      </c>
      <c r="F54">
        <f t="shared" si="16"/>
        <v>0.15200000000000002</v>
      </c>
      <c r="G54">
        <f t="shared" si="16"/>
        <v>0.35</v>
      </c>
      <c r="H54">
        <f t="shared" si="16"/>
        <v>7.3000000000000009E-2</v>
      </c>
      <c r="I54" s="40">
        <f t="shared" si="16"/>
        <v>1.0310000000000001</v>
      </c>
      <c r="J54" s="40">
        <f t="shared" si="16"/>
        <v>1.0659999999999998</v>
      </c>
      <c r="K54">
        <f t="shared" si="16"/>
        <v>9.000000000000008E-3</v>
      </c>
      <c r="L54">
        <f t="shared" si="16"/>
        <v>4.7000000000000014E-2</v>
      </c>
      <c r="M54">
        <f t="shared" si="16"/>
        <v>2.7999999999999997E-2</v>
      </c>
      <c r="P54">
        <f t="shared" si="3"/>
        <v>2.4999999999999981E-2</v>
      </c>
      <c r="Q54">
        <f t="shared" si="1"/>
        <v>2.5000000000000008E-2</v>
      </c>
      <c r="R54">
        <f t="shared" si="1"/>
        <v>9.8000000000000004E-2</v>
      </c>
      <c r="S54">
        <f t="shared" si="1"/>
        <v>9.6000000000000002E-2</v>
      </c>
      <c r="T54">
        <f t="shared" si="1"/>
        <v>0.15899999999999997</v>
      </c>
      <c r="U54">
        <f t="shared" si="1"/>
        <v>0.35399999999999998</v>
      </c>
      <c r="V54">
        <f t="shared" si="1"/>
        <v>7.0000000000000007E-2</v>
      </c>
      <c r="W54">
        <f t="shared" si="1"/>
        <v>5.2999999999999992E-2</v>
      </c>
      <c r="X54">
        <f t="shared" si="1"/>
        <v>4.200000000000001E-2</v>
      </c>
      <c r="Y54" s="40">
        <f t="shared" si="1"/>
        <v>1.0940000000000001</v>
      </c>
      <c r="Z54">
        <f t="shared" si="1"/>
        <v>3.3000000000000002E-2</v>
      </c>
      <c r="AA54">
        <f t="shared" si="1"/>
        <v>2.4999999999999994E-2</v>
      </c>
      <c r="AB54" s="54" t="s">
        <v>9</v>
      </c>
    </row>
    <row r="55" spans="1:28">
      <c r="A55" s="55"/>
      <c r="B55">
        <f t="shared" ref="B55:M55" si="17">B17-B36</f>
        <v>6.7000000000000004E-2</v>
      </c>
      <c r="C55">
        <f t="shared" si="17"/>
        <v>0.11100000000000002</v>
      </c>
      <c r="D55">
        <f t="shared" si="17"/>
        <v>1.3999999999999999E-2</v>
      </c>
      <c r="E55">
        <f t="shared" si="17"/>
        <v>8.9999999999999941E-3</v>
      </c>
      <c r="F55">
        <f t="shared" si="17"/>
        <v>6.6000000000000003E-2</v>
      </c>
      <c r="G55">
        <f t="shared" si="17"/>
        <v>3.1E-2</v>
      </c>
      <c r="H55">
        <f t="shared" si="17"/>
        <v>-6.0000000000000053E-3</v>
      </c>
      <c r="I55">
        <f t="shared" si="17"/>
        <v>0.23400000000000001</v>
      </c>
      <c r="J55">
        <f t="shared" si="17"/>
        <v>0.27</v>
      </c>
      <c r="K55">
        <f t="shared" si="17"/>
        <v>-1.7000000000000001E-2</v>
      </c>
      <c r="L55">
        <f t="shared" si="17"/>
        <v>8.9999999999999941E-3</v>
      </c>
      <c r="M55">
        <f t="shared" si="17"/>
        <v>1.1999999999999997E-2</v>
      </c>
      <c r="P55">
        <f t="shared" si="3"/>
        <v>9.000000000000008E-3</v>
      </c>
      <c r="Q55">
        <f t="shared" si="1"/>
        <v>1.0000000000000009E-2</v>
      </c>
      <c r="R55">
        <f t="shared" si="1"/>
        <v>3.8000000000000006E-2</v>
      </c>
      <c r="S55">
        <f t="shared" si="1"/>
        <v>2.7999999999999997E-2</v>
      </c>
      <c r="T55">
        <f t="shared" si="1"/>
        <v>6.9000000000000006E-2</v>
      </c>
      <c r="U55">
        <f t="shared" si="1"/>
        <v>3.3000000000000002E-2</v>
      </c>
      <c r="V55">
        <f t="shared" si="1"/>
        <v>-9.999999999999995E-3</v>
      </c>
      <c r="W55">
        <f t="shared" si="1"/>
        <v>1.9000000000000003E-2</v>
      </c>
      <c r="X55">
        <f t="shared" si="1"/>
        <v>1.2999999999999998E-2</v>
      </c>
      <c r="Y55">
        <f t="shared" si="1"/>
        <v>0.29099999999999998</v>
      </c>
      <c r="Z55">
        <f t="shared" si="1"/>
        <v>3.9999999999999897E-3</v>
      </c>
      <c r="AA55">
        <f t="shared" si="1"/>
        <v>1.0000000000000009E-2</v>
      </c>
      <c r="AB55" s="55"/>
    </row>
    <row r="57" spans="1:28">
      <c r="A57" t="s">
        <v>25</v>
      </c>
      <c r="B57" s="43"/>
      <c r="C57" t="s">
        <v>34</v>
      </c>
    </row>
    <row r="58" spans="1:28">
      <c r="B58" s="40" t="s">
        <v>26</v>
      </c>
      <c r="C58" t="s">
        <v>29</v>
      </c>
    </row>
    <row r="59" spans="1:28">
      <c r="B59" s="41" t="s">
        <v>27</v>
      </c>
      <c r="C59" t="s">
        <v>30</v>
      </c>
    </row>
    <row r="60" spans="1:28">
      <c r="B60" s="42" t="s">
        <v>28</v>
      </c>
      <c r="C60" t="s">
        <v>31</v>
      </c>
    </row>
    <row r="62" spans="1:28">
      <c r="A62" s="35" t="s">
        <v>32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</row>
    <row r="63" spans="1:28">
      <c r="B63" s="50">
        <v>1</v>
      </c>
      <c r="C63" s="50">
        <v>2</v>
      </c>
      <c r="D63" s="50">
        <v>3</v>
      </c>
      <c r="E63" s="50">
        <v>4</v>
      </c>
      <c r="F63" s="50">
        <v>5</v>
      </c>
      <c r="G63" s="50">
        <v>6</v>
      </c>
      <c r="H63" s="50">
        <v>7</v>
      </c>
      <c r="I63" s="50">
        <v>8</v>
      </c>
      <c r="J63" s="50">
        <v>9</v>
      </c>
      <c r="K63" s="50">
        <v>10</v>
      </c>
      <c r="L63" s="50">
        <v>11</v>
      </c>
      <c r="M63" s="50">
        <v>12</v>
      </c>
    </row>
    <row r="64" spans="1:28">
      <c r="A64" s="50" t="s">
        <v>2</v>
      </c>
      <c r="B64" s="44"/>
      <c r="C64" s="45">
        <v>0</v>
      </c>
      <c r="D64" s="44"/>
      <c r="E64" s="44"/>
      <c r="F64" s="46">
        <v>0.45900000000000002</v>
      </c>
      <c r="G64" s="44">
        <v>0</v>
      </c>
      <c r="H64" s="44">
        <v>0</v>
      </c>
      <c r="I64" s="44">
        <v>0</v>
      </c>
      <c r="J64" s="44">
        <v>0</v>
      </c>
      <c r="K64" s="47">
        <v>2.1960000000000002</v>
      </c>
      <c r="L64" s="47">
        <v>1.093</v>
      </c>
      <c r="M64" s="48">
        <v>0</v>
      </c>
    </row>
    <row r="65" spans="1:23">
      <c r="A65" s="50" t="s">
        <v>3</v>
      </c>
      <c r="B65" s="44"/>
      <c r="C65" s="47">
        <v>1.179</v>
      </c>
      <c r="D65" s="47">
        <v>0.626</v>
      </c>
      <c r="E65" s="44"/>
      <c r="F65" s="44"/>
      <c r="G65" s="44"/>
      <c r="H65" s="49"/>
      <c r="I65" s="47">
        <v>0.90400000000000003</v>
      </c>
      <c r="J65" s="45"/>
      <c r="K65" s="45">
        <v>0</v>
      </c>
      <c r="L65" s="47">
        <v>1.179</v>
      </c>
      <c r="M65" s="45">
        <v>0</v>
      </c>
    </row>
    <row r="66" spans="1:23">
      <c r="A66" s="50" t="s">
        <v>4</v>
      </c>
      <c r="B66" s="44"/>
      <c r="C66" s="44"/>
      <c r="D66" s="44"/>
      <c r="E66" s="47">
        <v>0.90900000000000003</v>
      </c>
      <c r="F66" s="44"/>
      <c r="G66" s="47">
        <v>1.018</v>
      </c>
      <c r="H66" s="47">
        <v>1.093</v>
      </c>
      <c r="I66" s="47">
        <v>0.11899999999999999</v>
      </c>
      <c r="J66" s="47">
        <v>1.093</v>
      </c>
      <c r="K66" s="45">
        <v>0</v>
      </c>
      <c r="L66" s="45">
        <v>0</v>
      </c>
      <c r="M66" s="45">
        <v>0</v>
      </c>
    </row>
    <row r="67" spans="1:23">
      <c r="A67" s="50" t="s">
        <v>5</v>
      </c>
      <c r="B67" s="45">
        <v>0</v>
      </c>
      <c r="C67" s="44"/>
      <c r="D67" s="44"/>
      <c r="E67" s="44"/>
      <c r="F67" s="44"/>
      <c r="G67" s="47">
        <v>0.59099999999999997</v>
      </c>
      <c r="H67" s="44"/>
      <c r="I67" s="45"/>
      <c r="J67" s="48"/>
      <c r="K67" s="45"/>
      <c r="L67" s="45">
        <v>0</v>
      </c>
      <c r="M67" s="48">
        <v>0</v>
      </c>
    </row>
    <row r="68" spans="1:23">
      <c r="A68" s="50" t="s">
        <v>6</v>
      </c>
      <c r="B68" s="45">
        <v>0</v>
      </c>
      <c r="C68" s="44"/>
      <c r="D68" s="44"/>
      <c r="E68" s="44"/>
      <c r="F68" s="44"/>
      <c r="G68" s="44"/>
      <c r="H68" s="46">
        <v>0.70699999999999996</v>
      </c>
      <c r="I68" s="44"/>
      <c r="J68" s="45"/>
      <c r="K68" s="45"/>
      <c r="L68" s="44">
        <v>0</v>
      </c>
      <c r="M68" s="44">
        <v>0</v>
      </c>
    </row>
    <row r="69" spans="1:23">
      <c r="A69" s="50" t="s">
        <v>7</v>
      </c>
      <c r="B69" s="44"/>
      <c r="C69" s="46">
        <v>0.52600000000000002</v>
      </c>
      <c r="D69" s="44">
        <v>0</v>
      </c>
      <c r="E69" s="44"/>
      <c r="F69" s="46">
        <v>0.40300000000000002</v>
      </c>
      <c r="G69" s="44"/>
      <c r="H69" s="44"/>
      <c r="I69" s="48"/>
      <c r="J69" s="44"/>
      <c r="K69" s="44">
        <v>0</v>
      </c>
      <c r="L69" s="44"/>
      <c r="M69" s="49">
        <v>0</v>
      </c>
    </row>
    <row r="70" spans="1:23">
      <c r="A70" s="50" t="s">
        <v>8</v>
      </c>
      <c r="B70" s="44"/>
      <c r="C70" s="44"/>
      <c r="D70" s="44">
        <v>0</v>
      </c>
      <c r="E70" s="44">
        <v>0</v>
      </c>
      <c r="F70" s="44">
        <v>0</v>
      </c>
      <c r="G70" s="44"/>
      <c r="H70" s="44"/>
      <c r="I70" s="44"/>
      <c r="J70" s="44"/>
      <c r="K70" s="44"/>
      <c r="L70" s="44"/>
      <c r="M70" s="46">
        <v>0.40300000000000002</v>
      </c>
    </row>
    <row r="71" spans="1:23">
      <c r="A71" s="50" t="s">
        <v>9</v>
      </c>
      <c r="B71" s="44"/>
      <c r="C71" s="44"/>
      <c r="D71" s="44"/>
      <c r="E71" s="44"/>
      <c r="F71" s="45"/>
      <c r="G71" s="45"/>
      <c r="H71" s="44"/>
      <c r="I71" s="44">
        <v>0</v>
      </c>
      <c r="J71" s="44"/>
      <c r="K71" s="44">
        <v>0</v>
      </c>
      <c r="L71" s="44"/>
      <c r="M71" s="44"/>
    </row>
    <row r="73" spans="1:23">
      <c r="A73" s="51" t="s">
        <v>33</v>
      </c>
      <c r="B73" s="35"/>
      <c r="C73" t="s">
        <v>36</v>
      </c>
    </row>
    <row r="74" spans="1:23">
      <c r="B74" s="36"/>
      <c r="C74" t="s">
        <v>37</v>
      </c>
    </row>
    <row r="75" spans="1:23">
      <c r="B75" s="52"/>
      <c r="C75" t="s">
        <v>38</v>
      </c>
    </row>
    <row r="76" spans="1:23">
      <c r="B76" s="53"/>
      <c r="C76" t="s">
        <v>35</v>
      </c>
    </row>
    <row r="78" spans="1:23">
      <c r="B78" s="36"/>
      <c r="C78" s="56" t="s">
        <v>40</v>
      </c>
      <c r="D78" s="56" t="s">
        <v>39</v>
      </c>
      <c r="F78" s="57" t="s">
        <v>70</v>
      </c>
      <c r="G78" s="57" t="s">
        <v>71</v>
      </c>
      <c r="H78" s="58" t="s">
        <v>72</v>
      </c>
      <c r="I78" s="58" t="s">
        <v>73</v>
      </c>
      <c r="J78" s="52"/>
      <c r="K78" s="56" t="s">
        <v>123</v>
      </c>
      <c r="L78" s="56" t="s">
        <v>124</v>
      </c>
      <c r="N78" s="57" t="s">
        <v>125</v>
      </c>
      <c r="O78" s="57" t="s">
        <v>126</v>
      </c>
      <c r="P78" s="59" t="s">
        <v>127</v>
      </c>
      <c r="Q78" s="35"/>
      <c r="R78" s="56" t="s">
        <v>148</v>
      </c>
      <c r="S78" s="56" t="s">
        <v>149</v>
      </c>
      <c r="U78" s="57" t="s">
        <v>150</v>
      </c>
      <c r="V78" s="57" t="s">
        <v>151</v>
      </c>
      <c r="W78" s="61" t="s">
        <v>152</v>
      </c>
    </row>
    <row r="79" spans="1:23">
      <c r="C79" s="56" t="s">
        <v>41</v>
      </c>
      <c r="D79" s="56" t="s">
        <v>42</v>
      </c>
      <c r="F79" s="57" t="s">
        <v>74</v>
      </c>
      <c r="G79" s="57" t="s">
        <v>75</v>
      </c>
      <c r="H79" s="58" t="s">
        <v>76</v>
      </c>
      <c r="K79" s="56" t="s">
        <v>128</v>
      </c>
      <c r="L79" s="56" t="s">
        <v>129</v>
      </c>
      <c r="N79" s="57" t="s">
        <v>130</v>
      </c>
      <c r="O79" s="57" t="s">
        <v>131</v>
      </c>
      <c r="P79" s="59" t="s">
        <v>132</v>
      </c>
      <c r="R79" s="56" t="s">
        <v>153</v>
      </c>
      <c r="S79" s="56" t="s">
        <v>154</v>
      </c>
      <c r="U79" s="57" t="s">
        <v>155</v>
      </c>
      <c r="V79" s="57" t="s">
        <v>156</v>
      </c>
      <c r="W79" s="61" t="s">
        <v>157</v>
      </c>
    </row>
    <row r="80" spans="1:23">
      <c r="C80" s="56" t="s">
        <v>43</v>
      </c>
      <c r="D80" s="56" t="s">
        <v>44</v>
      </c>
      <c r="F80" s="57" t="s">
        <v>77</v>
      </c>
      <c r="G80" s="57" t="s">
        <v>78</v>
      </c>
      <c r="H80" s="59"/>
      <c r="K80" s="56" t="s">
        <v>133</v>
      </c>
      <c r="L80" s="56" t="s">
        <v>134</v>
      </c>
      <c r="N80" s="57" t="s">
        <v>135</v>
      </c>
      <c r="O80" s="57" t="s">
        <v>136</v>
      </c>
      <c r="P80" s="59" t="s">
        <v>137</v>
      </c>
      <c r="R80" s="56" t="s">
        <v>158</v>
      </c>
      <c r="S80" s="56" t="s">
        <v>159</v>
      </c>
      <c r="U80" s="57" t="s">
        <v>160</v>
      </c>
      <c r="V80" s="57" t="s">
        <v>161</v>
      </c>
      <c r="W80" s="58" t="s">
        <v>162</v>
      </c>
    </row>
    <row r="81" spans="3:23">
      <c r="C81" s="56" t="s">
        <v>45</v>
      </c>
      <c r="D81" s="56" t="s">
        <v>46</v>
      </c>
      <c r="F81" s="57" t="s">
        <v>79</v>
      </c>
      <c r="G81" s="57" t="s">
        <v>80</v>
      </c>
      <c r="H81" s="59" t="s">
        <v>81</v>
      </c>
      <c r="K81" s="56" t="s">
        <v>138</v>
      </c>
      <c r="L81" s="56" t="s">
        <v>139</v>
      </c>
      <c r="N81" s="57" t="s">
        <v>140</v>
      </c>
      <c r="O81" s="57" t="s">
        <v>141</v>
      </c>
      <c r="P81" s="59" t="s">
        <v>142</v>
      </c>
      <c r="R81" s="56" t="s">
        <v>163</v>
      </c>
      <c r="S81" s="56" t="s">
        <v>164</v>
      </c>
      <c r="U81" s="57" t="s">
        <v>165</v>
      </c>
      <c r="V81" s="57" t="s">
        <v>166</v>
      </c>
      <c r="W81" s="62" t="s">
        <v>167</v>
      </c>
    </row>
    <row r="82" spans="3:23">
      <c r="C82" s="56" t="s">
        <v>47</v>
      </c>
      <c r="D82" s="56" t="s">
        <v>48</v>
      </c>
      <c r="F82" s="57" t="s">
        <v>82</v>
      </c>
      <c r="G82" s="57" t="s">
        <v>83</v>
      </c>
      <c r="H82" s="59" t="s">
        <v>84</v>
      </c>
      <c r="K82" s="56" t="s">
        <v>143</v>
      </c>
      <c r="L82" s="56" t="s">
        <v>144</v>
      </c>
      <c r="N82" s="57" t="s">
        <v>145</v>
      </c>
      <c r="O82" s="57" t="s">
        <v>146</v>
      </c>
      <c r="P82" s="59" t="s">
        <v>147</v>
      </c>
      <c r="R82" s="56" t="s">
        <v>168</v>
      </c>
      <c r="S82" s="56" t="s">
        <v>169</v>
      </c>
      <c r="U82" s="57" t="s">
        <v>170</v>
      </c>
      <c r="V82" s="57" t="s">
        <v>171</v>
      </c>
      <c r="W82" s="58" t="s">
        <v>172</v>
      </c>
    </row>
    <row r="83" spans="3:23">
      <c r="C83" s="56" t="s">
        <v>49</v>
      </c>
      <c r="D83" s="56" t="s">
        <v>50</v>
      </c>
      <c r="F83" s="57" t="s">
        <v>85</v>
      </c>
      <c r="G83" s="57" t="s">
        <v>86</v>
      </c>
      <c r="H83" s="58" t="s">
        <v>87</v>
      </c>
      <c r="R83" s="56" t="s">
        <v>173</v>
      </c>
      <c r="S83" s="56" t="s">
        <v>174</v>
      </c>
      <c r="U83" s="57" t="s">
        <v>175</v>
      </c>
      <c r="V83" s="57" t="s">
        <v>176</v>
      </c>
      <c r="W83" s="58" t="s">
        <v>177</v>
      </c>
    </row>
    <row r="84" spans="3:23">
      <c r="C84" s="56" t="s">
        <v>51</v>
      </c>
      <c r="D84" s="56" t="s">
        <v>52</v>
      </c>
      <c r="F84" s="57" t="s">
        <v>88</v>
      </c>
      <c r="G84" s="57" t="s">
        <v>89</v>
      </c>
      <c r="H84" s="60" t="s">
        <v>90</v>
      </c>
      <c r="R84" s="56" t="s">
        <v>178</v>
      </c>
      <c r="S84" s="56" t="s">
        <v>179</v>
      </c>
      <c r="U84" s="57" t="s">
        <v>180</v>
      </c>
      <c r="V84" s="57" t="s">
        <v>181</v>
      </c>
      <c r="W84" s="58" t="s">
        <v>182</v>
      </c>
    </row>
    <row r="85" spans="3:23">
      <c r="C85" s="56" t="s">
        <v>53</v>
      </c>
      <c r="D85" s="56" t="s">
        <v>54</v>
      </c>
      <c r="F85" s="57" t="s">
        <v>91</v>
      </c>
      <c r="G85" s="57" t="s">
        <v>92</v>
      </c>
      <c r="H85" s="58" t="s">
        <v>93</v>
      </c>
      <c r="R85" s="56" t="s">
        <v>183</v>
      </c>
      <c r="S85" s="56" t="s">
        <v>184</v>
      </c>
      <c r="U85" s="57" t="s">
        <v>185</v>
      </c>
      <c r="V85" s="57" t="s">
        <v>186</v>
      </c>
      <c r="W85" s="59" t="s">
        <v>187</v>
      </c>
    </row>
    <row r="86" spans="3:23">
      <c r="C86" s="56" t="s">
        <v>55</v>
      </c>
      <c r="D86" s="56" t="s">
        <v>56</v>
      </c>
      <c r="F86" s="57" t="s">
        <v>94</v>
      </c>
      <c r="G86" s="57" t="s">
        <v>95</v>
      </c>
      <c r="H86" s="58" t="s">
        <v>96</v>
      </c>
      <c r="R86" s="56" t="s">
        <v>188</v>
      </c>
      <c r="S86" s="56" t="s">
        <v>189</v>
      </c>
      <c r="U86" s="57" t="s">
        <v>190</v>
      </c>
      <c r="V86" s="57" t="s">
        <v>191</v>
      </c>
      <c r="W86" s="63" t="s">
        <v>192</v>
      </c>
    </row>
    <row r="87" spans="3:23">
      <c r="C87" s="56" t="s">
        <v>57</v>
      </c>
      <c r="D87" s="56" t="s">
        <v>58</v>
      </c>
      <c r="F87" s="57" t="s">
        <v>97</v>
      </c>
      <c r="G87" s="57" t="s">
        <v>98</v>
      </c>
      <c r="H87" s="59"/>
      <c r="R87" s="56" t="s">
        <v>193</v>
      </c>
      <c r="S87" s="56" t="s">
        <v>194</v>
      </c>
      <c r="U87" s="57" t="s">
        <v>195</v>
      </c>
      <c r="V87" s="57" t="s">
        <v>196</v>
      </c>
      <c r="W87" s="59" t="s">
        <v>197</v>
      </c>
    </row>
    <row r="88" spans="3:23">
      <c r="C88" s="56" t="s">
        <v>59</v>
      </c>
      <c r="D88" s="56" t="s">
        <v>60</v>
      </c>
      <c r="F88" s="57" t="s">
        <v>99</v>
      </c>
      <c r="G88" s="57" t="s">
        <v>100</v>
      </c>
      <c r="H88" s="40"/>
      <c r="R88" s="56" t="s">
        <v>198</v>
      </c>
      <c r="S88" s="56" t="s">
        <v>199</v>
      </c>
      <c r="U88" s="57" t="s">
        <v>200</v>
      </c>
      <c r="V88" s="57" t="s">
        <v>201</v>
      </c>
      <c r="W88" s="60" t="s">
        <v>202</v>
      </c>
    </row>
    <row r="89" spans="3:23">
      <c r="C89" s="56" t="s">
        <v>61</v>
      </c>
      <c r="D89" s="56" t="s">
        <v>62</v>
      </c>
      <c r="F89" s="57" t="s">
        <v>101</v>
      </c>
      <c r="G89" s="57" t="s">
        <v>102</v>
      </c>
      <c r="H89" s="58" t="s">
        <v>103</v>
      </c>
      <c r="R89" s="56" t="s">
        <v>203</v>
      </c>
      <c r="S89" s="56" t="s">
        <v>204</v>
      </c>
      <c r="U89" s="57" t="s">
        <v>205</v>
      </c>
      <c r="V89" s="57" t="s">
        <v>206</v>
      </c>
      <c r="W89" s="59" t="s">
        <v>207</v>
      </c>
    </row>
    <row r="90" spans="3:23">
      <c r="C90" s="56" t="s">
        <v>63</v>
      </c>
      <c r="D90" s="56" t="s">
        <v>64</v>
      </c>
      <c r="F90" s="57" t="s">
        <v>104</v>
      </c>
      <c r="G90" s="57" t="s">
        <v>105</v>
      </c>
      <c r="H90" s="58" t="s">
        <v>106</v>
      </c>
    </row>
    <row r="91" spans="3:23">
      <c r="C91" s="56" t="s">
        <v>65</v>
      </c>
      <c r="D91" s="56" t="s">
        <v>66</v>
      </c>
      <c r="F91" s="57" t="s">
        <v>107</v>
      </c>
      <c r="G91" s="57" t="s">
        <v>108</v>
      </c>
      <c r="H91" s="58"/>
    </row>
    <row r="92" spans="3:23">
      <c r="C92" s="56" t="s">
        <v>67</v>
      </c>
      <c r="D92" s="56" t="s">
        <v>68</v>
      </c>
      <c r="F92" s="57" t="s">
        <v>109</v>
      </c>
      <c r="G92" s="57" t="s">
        <v>69</v>
      </c>
      <c r="H92" s="59"/>
    </row>
    <row r="93" spans="3:23">
      <c r="C93" s="56" t="s">
        <v>110</v>
      </c>
      <c r="D93" s="56" t="s">
        <v>111</v>
      </c>
      <c r="F93" s="57" t="s">
        <v>112</v>
      </c>
      <c r="G93" s="57" t="s">
        <v>113</v>
      </c>
      <c r="H93" s="58" t="s">
        <v>114</v>
      </c>
    </row>
    <row r="94" spans="3:23">
      <c r="C94" s="56" t="s">
        <v>115</v>
      </c>
      <c r="D94" s="56" t="s">
        <v>116</v>
      </c>
      <c r="F94" s="57" t="s">
        <v>117</v>
      </c>
      <c r="G94" s="57" t="s">
        <v>118</v>
      </c>
      <c r="H94" s="59"/>
    </row>
    <row r="95" spans="3:23">
      <c r="C95" s="56" t="s">
        <v>119</v>
      </c>
      <c r="D95" s="56" t="s">
        <v>120</v>
      </c>
      <c r="F95" s="57" t="s">
        <v>121</v>
      </c>
      <c r="G95" s="57" t="s">
        <v>122</v>
      </c>
      <c r="H95" s="59"/>
    </row>
  </sheetData>
  <mergeCells count="40">
    <mergeCell ref="AB50:AB51"/>
    <mergeCell ref="AB52:AB53"/>
    <mergeCell ref="AB54:AB55"/>
    <mergeCell ref="A46:A47"/>
    <mergeCell ref="A48:A49"/>
    <mergeCell ref="A50:A51"/>
    <mergeCell ref="A52:A53"/>
    <mergeCell ref="A54:A55"/>
    <mergeCell ref="AB40:AB41"/>
    <mergeCell ref="AB42:AB43"/>
    <mergeCell ref="AB44:AB45"/>
    <mergeCell ref="AB46:AB47"/>
    <mergeCell ref="AB48:AB49"/>
    <mergeCell ref="A44:A45"/>
    <mergeCell ref="A23:A24"/>
    <mergeCell ref="A25:A26"/>
    <mergeCell ref="A27:A28"/>
    <mergeCell ref="A29:A30"/>
    <mergeCell ref="A31:A32"/>
    <mergeCell ref="A33:A34"/>
    <mergeCell ref="A35:A36"/>
    <mergeCell ref="A40:A41"/>
    <mergeCell ref="A42:A43"/>
    <mergeCell ref="A14:A15"/>
    <mergeCell ref="Q14:Q15"/>
    <mergeCell ref="A16:A17"/>
    <mergeCell ref="Q16:Q17"/>
    <mergeCell ref="A21:A22"/>
    <mergeCell ref="A8:A9"/>
    <mergeCell ref="Q8:Q9"/>
    <mergeCell ref="A10:A11"/>
    <mergeCell ref="Q10:Q11"/>
    <mergeCell ref="A12:A13"/>
    <mergeCell ref="Q12:Q13"/>
    <mergeCell ref="A2:A3"/>
    <mergeCell ref="Q2:Q3"/>
    <mergeCell ref="A4:A5"/>
    <mergeCell ref="Q4:Q5"/>
    <mergeCell ref="A6:A7"/>
    <mergeCell ref="Q6:Q7"/>
  </mergeCells>
  <conditionalFormatting sqref="P40:AA40">
    <cfRule type="cellIs" dxfId="16" priority="17" operator="greaterThan">
      <formula>0.1</formula>
    </cfRule>
  </conditionalFormatting>
  <conditionalFormatting sqref="P42:AA42">
    <cfRule type="cellIs" dxfId="15" priority="15" operator="greaterThan">
      <formula>0.1</formula>
    </cfRule>
    <cfRule type="cellIs" dxfId="14" priority="16" operator="greaterThan">
      <formula>"o,1"</formula>
    </cfRule>
  </conditionalFormatting>
  <conditionalFormatting sqref="P44:AA44">
    <cfRule type="cellIs" dxfId="13" priority="14" operator="greaterThan">
      <formula>0.1</formula>
    </cfRule>
  </conditionalFormatting>
  <conditionalFormatting sqref="P46:AA46">
    <cfRule type="cellIs" dxfId="12" priority="13" operator="greaterThan">
      <formula>0.1</formula>
    </cfRule>
  </conditionalFormatting>
  <conditionalFormatting sqref="P48:AA48">
    <cfRule type="cellIs" dxfId="11" priority="12" operator="greaterThan">
      <formula>0.1</formula>
    </cfRule>
  </conditionalFormatting>
  <conditionalFormatting sqref="P50:AA50">
    <cfRule type="cellIs" dxfId="10" priority="11" operator="greaterThan">
      <formula>0.1</formula>
    </cfRule>
  </conditionalFormatting>
  <conditionalFormatting sqref="P52:AA52">
    <cfRule type="cellIs" dxfId="9" priority="10" operator="greaterThan">
      <formula>0.1</formula>
    </cfRule>
  </conditionalFormatting>
  <conditionalFormatting sqref="P54:AA54">
    <cfRule type="cellIs" dxfId="8" priority="9" operator="greaterThan">
      <formula>0.1</formula>
    </cfRule>
  </conditionalFormatting>
  <conditionalFormatting sqref="B40:M40">
    <cfRule type="cellIs" dxfId="7" priority="8" operator="greaterThan">
      <formula>0.1</formula>
    </cfRule>
  </conditionalFormatting>
  <conditionalFormatting sqref="B42:M42">
    <cfRule type="cellIs" dxfId="6" priority="7" operator="greaterThan">
      <formula>0.1</formula>
    </cfRule>
  </conditionalFormatting>
  <conditionalFormatting sqref="B44:M44">
    <cfRule type="cellIs" dxfId="5" priority="6" operator="greaterThan">
      <formula>0.1</formula>
    </cfRule>
  </conditionalFormatting>
  <conditionalFormatting sqref="B46:M46">
    <cfRule type="cellIs" dxfId="4" priority="5" operator="greaterThan">
      <formula>0.1</formula>
    </cfRule>
  </conditionalFormatting>
  <conditionalFormatting sqref="B48:M48">
    <cfRule type="cellIs" dxfId="3" priority="4" operator="greaterThan">
      <formula>0.1</formula>
    </cfRule>
  </conditionalFormatting>
  <conditionalFormatting sqref="B50:M50">
    <cfRule type="cellIs" dxfId="2" priority="3" operator="greaterThan">
      <formula>0.1</formula>
    </cfRule>
  </conditionalFormatting>
  <conditionalFormatting sqref="B52:M52">
    <cfRule type="cellIs" dxfId="1" priority="2" operator="greaterThan">
      <formula>0.1</formula>
    </cfRule>
  </conditionalFormatting>
  <conditionalFormatting sqref="B54:M54">
    <cfRule type="cellIs" dxfId="0" priority="1" operator="greaterThan">
      <formula>0.1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Rohdaten</vt:lpstr>
      <vt:lpstr>Steigung</vt:lpstr>
      <vt:lpstr>Wachstum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2017-11-01T20:42:33Z</dcterms:modified>
</cp:coreProperties>
</file>